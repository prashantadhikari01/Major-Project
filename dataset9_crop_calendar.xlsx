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rop_calendar" sheetId="2" state="visible" r:id="rId4"/>
    <sheet name="zones" sheetId="3" state="visible" r:id="rId5"/>
    <sheet name="local_notes" sheetId="4" state="visible" r:id="rId6"/>
    <sheet name="sources" sheetId="5" state="visible" r:id="rId7"/>
    <sheet name="to_verify" sheetId="6" state="visible" r:id="rId8"/>
  </sheets>
  <definedNames>
    <definedName function="false" hidden="true" localSheetId="1" name="_xlnm._FilterDatabase" vbProcedure="false">crop_calendar!$A$1:$Y$34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<sst xmlns="http://schemas.openxmlformats.org/spreadsheetml/2006/main" count="671" uniqueCount="330">
  <si>
    <t xml:space="preserve">Dataset 9: Crop calendars (sowing and harvest windows) for Mustang and Manang. Version 2 (second search round)</t>
  </si>
  <si>
    <t xml:space="preserve">Purpose: reference windows to compare the app's planting windows against in the backtest.</t>
  </si>
  <si>
    <t xml:space="preserve">HOW TO USE</t>
  </si>
  <si>
    <t xml:space="preserve">1. Main data is in sheet 'crop_calendar' (also saved as crop_calendar.csv). One row = one crop x zone x season.</t>
  </si>
  <si>
    <t xml:space="preserve">2. Months are numbers 1–12 (Gregorian). 'sow_start_doy' etc. are day-of-year (non-leap) computed from the months, for direct use in code.</t>
  </si>
  <si>
    <t xml:space="preserve">3. Zones (sheet 'zones') group the 9 app locations by elevation. Elevations there are approximate: replace with Dataset 1 values.</t>
  </si>
  <si>
    <t xml:space="preserve">4. 'evidence_area' says where the evidence comes from: Mustang/Manang itself, a national altitude table, or an analog district.</t>
  </si>
  <si>
    <t xml:space="preserve">5. Sheet 'local_notes' holds site-specific facts (irrigation season, snow, frost, communal dates) useful for the frost backtest.</t>
  </si>
  <si>
    <t xml:space="preserve">EVIDENCE LEVELS (column 'evidence_level')</t>
  </si>
  <si>
    <t xml:space="preserve">A = months or crop presence stated in a source found online (see 'sources'), for Mustang/Manang, a national altitude zone, or Humla analog.</t>
  </si>
  <si>
    <t xml:space="preserve">A/B = part of the row is sourced (usually the crop or one date) and part is inferred. Check notes.</t>
  </si>
  <si>
    <t xml:space="preserve">B = DRAFT from general high-altitude agronomy. Not confirmed by any source found. Must be verified before it is treated as a result.</t>
  </si>
  <si>
    <t xml:space="preserve">P = reserved for rows you confirm from a primary local source (put it in 'verified_by').</t>
  </si>
  <si>
    <t xml:space="preserve">WHAT CHANGED IN VERSION 2</t>
  </si>
  <si>
    <t xml:space="preserve">Added month-level evidence for potato by altitude (S10), buckwheat sowing time above 2,000 m (S11), winter barley sowing in December in the Kali Gandaki valley (S6), Jharkot irrigation season (S7), Manang crop system (S8) and Lo Manthang crop list (S9).</t>
  </si>
  <si>
    <t xml:space="preserve">Still missing: an official MOALD or Agriculture Knowledge Centre month table for Mustang or Manang. None was found online. The full text of S14 (paywalled) likely has actual Manang dates.</t>
  </si>
  <si>
    <t xml:space="preserve">grown_status: core = main crop in that zone; marginal = rare or at risk; not_typical = expected not to be grown (months blank); analog and reference = other places, for comparison only.</t>
  </si>
  <si>
    <t xml:space="preserve">Apple is perennial and is left out, as in the project plan.</t>
  </si>
  <si>
    <t xml:space="preserve">record_id</t>
  </si>
  <si>
    <t xml:space="preserve">crop</t>
  </si>
  <si>
    <t xml:space="preserve">variety_note</t>
  </si>
  <si>
    <t xml:space="preserve">zone_id</t>
  </si>
  <si>
    <t xml:space="preserve">elevation_band_m</t>
  </si>
  <si>
    <t xml:space="preserve">example_locations</t>
  </si>
  <si>
    <t xml:space="preserve">grown_status</t>
  </si>
  <si>
    <t xml:space="preserve">season_type</t>
  </si>
  <si>
    <t xml:space="preserve">sow_start_month</t>
  </si>
  <si>
    <t xml:space="preserve">sow_end_month</t>
  </si>
  <si>
    <t xml:space="preserve">harvest_start_month</t>
  </si>
  <si>
    <t xml:space="preserve">harvest_end_month</t>
  </si>
  <si>
    <t xml:space="preserve">sow_period_bs_approx</t>
  </si>
  <si>
    <t xml:space="preserve">harvest_period_bs_approx</t>
  </si>
  <si>
    <t xml:space="preserve">cycle_days_min</t>
  </si>
  <si>
    <t xml:space="preserve">cycle_days_max</t>
  </si>
  <si>
    <t xml:space="preserve">sow_start_doy</t>
  </si>
  <si>
    <t xml:space="preserve">sow_end_doy</t>
  </si>
  <si>
    <t xml:space="preserve">harvest_start_doy</t>
  </si>
  <si>
    <t xml:space="preserve">harvest_end_doy</t>
  </si>
  <si>
    <t xml:space="preserve">evidence_level</t>
  </si>
  <si>
    <t xml:space="preserve">evidence_area</t>
  </si>
  <si>
    <t xml:space="preserve">source_id</t>
  </si>
  <si>
    <t xml:space="preserve">notes</t>
  </si>
  <si>
    <t xml:space="preserve">verified_by</t>
  </si>
  <si>
    <t xml:space="preserve">CC001</t>
  </si>
  <si>
    <t xml:space="preserve">Potato</t>
  </si>
  <si>
    <t xml:space="preserve">Z1</t>
  </si>
  <si>
    <t xml:space="preserve">2,500–3,000</t>
  </si>
  <si>
    <t xml:space="preserve">Jomsom, Marpha, Kagbeni, Chame</t>
  </si>
  <si>
    <t xml:space="preserve">core</t>
  </si>
  <si>
    <t xml:space="preserve">spring</t>
  </si>
  <si>
    <t xml:space="preserve">Falgun–Chaitra</t>
  </si>
  <si>
    <t xml:space="preserve">Ashadh–Shrawan</t>
  </si>
  <si>
    <t xml:space="preserve">A</t>
  </si>
  <si>
    <t xml:space="preserve">National altitude zone (2,200–3,000 m)</t>
  </si>
  <si>
    <t xml:space="preserve">S10;S6</t>
  </si>
  <si>
    <t xml:space="preserve">Plant Mar–Apr, harvest Jul–Sep for 2,200–3,000 m (S10). Potato is also present in the Oct autumn mapping of Marpha, Jomsom and Kagbeni (S6).</t>
  </si>
  <si>
    <t xml:space="preserve">CC002</t>
  </si>
  <si>
    <t xml:space="preserve">Barley</t>
  </si>
  <si>
    <t xml:space="preserve">winter-sown (naked or hulled)</t>
  </si>
  <si>
    <t xml:space="preserve">winter</t>
  </si>
  <si>
    <t xml:space="preserve">Mangsir–Poush</t>
  </si>
  <si>
    <t xml:space="preserve">Jestha–Ashadh</t>
  </si>
  <si>
    <t xml:space="preserve">A/B</t>
  </si>
  <si>
    <t xml:space="preserve">Mustang (Kali Gandaki valley)</t>
  </si>
  <si>
    <t xml:space="preserve">S6;S7</t>
  </si>
  <si>
    <t xml:space="preserve">Sown in December in the Kali Gandaki oases; fields green in Mar–Apr (S6). Barley and wheat are irrigated Mar–early June at nearby Jharkot (S7). Harvest months are inferred (B).</t>
  </si>
  <si>
    <t xml:space="preserve">CC003</t>
  </si>
  <si>
    <t xml:space="preserve">spring-sown</t>
  </si>
  <si>
    <t xml:space="preserve">marginal</t>
  </si>
  <si>
    <t xml:space="preserve">Shrawan–Bhadra</t>
  </si>
  <si>
    <t xml:space="preserve">B</t>
  </si>
  <si>
    <t xml:space="preserve">None found</t>
  </si>
  <si>
    <t xml:space="preserve">Draft. Winter sowing is the documented system at this elevation.</t>
  </si>
  <si>
    <t xml:space="preserve">CC004</t>
  </si>
  <si>
    <t xml:space="preserve">Wheat</t>
  </si>
  <si>
    <t xml:space="preserve">Mustang (qualitative only)</t>
  </si>
  <si>
    <t xml:space="preserve">S4;S7</t>
  </si>
  <si>
    <t xml:space="preserve">Wheat is sown first in the Mustang season (S4, weak source). Months are draft.</t>
  </si>
  <si>
    <t xml:space="preserve">CC005</t>
  </si>
  <si>
    <t xml:space="preserve">winter-sown</t>
  </si>
  <si>
    <t xml:space="preserve">Ashoj–Kartik</t>
  </si>
  <si>
    <t xml:space="preserve">Humla analog (cycle length only)</t>
  </si>
  <si>
    <t xml:space="preserve">S1</t>
  </si>
  <si>
    <t xml:space="preserve">Cycle over 7 months supported (S1). Months are draft.</t>
  </si>
  <si>
    <t xml:space="preserve">CC006</t>
  </si>
  <si>
    <t xml:space="preserve">Buckwheat</t>
  </si>
  <si>
    <t xml:space="preserve">sweet / tartary</t>
  </si>
  <si>
    <t xml:space="preserve">summer</t>
  </si>
  <si>
    <t xml:space="preserve">Chaitra–Baisakh</t>
  </si>
  <si>
    <t xml:space="preserve">Bhadra–Ashoj</t>
  </si>
  <si>
    <t xml:space="preserve">Mustang and national</t>
  </si>
  <si>
    <t xml:space="preserve">S5;S6;S7;S11</t>
  </si>
  <si>
    <t xml:space="preserve">Optimum sowing Apr–May above 2,000 m (S11). Marpha buckwheat and oats were harvested 30 Oct 2016 (S5). Buckwheat can also follow barley as a second crop (S7). End of sowing (Jun) is draft.</t>
  </si>
  <si>
    <t xml:space="preserve">CC007</t>
  </si>
  <si>
    <t xml:space="preserve">Maize</t>
  </si>
  <si>
    <t xml:space="preserve">Mustang (presence only)</t>
  </si>
  <si>
    <t xml:space="preserve">S6</t>
  </si>
  <si>
    <t xml:space="preserve">Intercropped with young apple trees at Jomsom and Marpha, seen in the Oct mapping (S6). Months are draft.</t>
  </si>
  <si>
    <t xml:space="preserve">CC008</t>
  </si>
  <si>
    <t xml:space="preserve">Millet</t>
  </si>
  <si>
    <t xml:space="preserve">proso (chino)</t>
  </si>
  <si>
    <t xml:space="preserve">Baisakh–Jestha</t>
  </si>
  <si>
    <t xml:space="preserve">Draft. Finger millet is not expected this high.</t>
  </si>
  <si>
    <t xml:space="preserve">CC009</t>
  </si>
  <si>
    <t xml:space="preserve">Pulses</t>
  </si>
  <si>
    <t xml:space="preserve">beans</t>
  </si>
  <si>
    <t xml:space="preserve">Beans are grown in fruit and vegetable gardens (S6). Months are draft.</t>
  </si>
  <si>
    <t xml:space="preserve">CC010</t>
  </si>
  <si>
    <t xml:space="preserve">Z2</t>
  </si>
  <si>
    <t xml:space="preserve">3,000–3,600</t>
  </si>
  <si>
    <t xml:space="preserve">Pisang, Braga, Manang Village, Charang</t>
  </si>
  <si>
    <t xml:space="preserve">National altitude zone (3,000–4,000 m)</t>
  </si>
  <si>
    <t xml:space="preserve">S10</t>
  </si>
  <si>
    <t xml:space="preserve">Plant late April to early May, harvest Sep–Oct (S10).</t>
  </si>
  <si>
    <t xml:space="preserve">CC011</t>
  </si>
  <si>
    <t xml:space="preserve">Manang and Mustang</t>
  </si>
  <si>
    <t xml:space="preserve">S7;S8;S12</t>
  </si>
  <si>
    <t xml:space="preserve">Spring barley is grown at high altitude in Manang (S8). Highland barley is sown around April and generally harvested Aug–Sep (S12). Jharkot: irrigated Mar–early June, harvest after the August festival (S7). Exact months are partly inferred.</t>
  </si>
  <si>
    <t xml:space="preserve">CC012</t>
  </si>
  <si>
    <t xml:space="preserve">Manang</t>
  </si>
  <si>
    <t xml:space="preserve">S8</t>
  </si>
  <si>
    <t xml:space="preserve">Winter barley is grown at lower altitudes in Manang (S8). Sowing and harvest months are not given. Cycle length is generic (S1).</t>
  </si>
  <si>
    <t xml:space="preserve">CC013</t>
  </si>
  <si>
    <t xml:space="preserve">S7;S8</t>
  </si>
  <si>
    <t xml:space="preserve">Wheat covers about 38% of cultivated land in Manang (S8). At Jharkot wheat ripens later than barley (S7). Months are partly draft.</t>
  </si>
  <si>
    <t xml:space="preserve">CC014</t>
  </si>
  <si>
    <t xml:space="preserve">S11;S8</t>
  </si>
  <si>
    <t xml:space="preserve">Major summer crop in Manang, optimum sowing Apr–May (S11). Harvest month is draft.</t>
  </si>
  <si>
    <t xml:space="preserve">CC015</t>
  </si>
  <si>
    <t xml:space="preserve">Draft.</t>
  </si>
  <si>
    <t xml:space="preserve">CC016</t>
  </si>
  <si>
    <t xml:space="preserve">not_typical</t>
  </si>
  <si>
    <t xml:space="preserve">Expected too cold. Not listed among Manang crops (S8). Confirm.</t>
  </si>
  <si>
    <t xml:space="preserve">CC017</t>
  </si>
  <si>
    <t xml:space="preserve">Expected too cold. Confirm.</t>
  </si>
  <si>
    <t xml:space="preserve">CC018</t>
  </si>
  <si>
    <t xml:space="preserve">Z3</t>
  </si>
  <si>
    <t xml:space="preserve">3,600–4,000</t>
  </si>
  <si>
    <t xml:space="preserve">Lo Manthang</t>
  </si>
  <si>
    <t xml:space="preserve">S10;S9</t>
  </si>
  <si>
    <t xml:space="preserve">Plant late April to early May, harvest Sep–Oct (S10). Potato is a main Lo Manthang crop (S9).</t>
  </si>
  <si>
    <t xml:space="preserve">CC019</t>
  </si>
  <si>
    <t xml:space="preserve">naked barley</t>
  </si>
  <si>
    <t xml:space="preserve">Lo Manthang and highland barley</t>
  </si>
  <si>
    <t xml:space="preserve">S9;S12</t>
  </si>
  <si>
    <t xml:space="preserve">Naked barley is a main Lo Manthang crop (S9). Highland barley is sown around April, harvested Aug–Sep (S12).</t>
  </si>
  <si>
    <t xml:space="preserve">CC020</t>
  </si>
  <si>
    <t xml:space="preserve">S9;S4</t>
  </si>
  <si>
    <t xml:space="preserve">Wheat is a main crop (S9) and is sown first (S4, weak). Months are draft.</t>
  </si>
  <si>
    <t xml:space="preserve">CC021</t>
  </si>
  <si>
    <t xml:space="preserve">S9;S11</t>
  </si>
  <si>
    <t xml:space="preserve">Main crop (S9). Months are draft; very short window near 3,800 m.</t>
  </si>
  <si>
    <t xml:space="preserve">CC022</t>
  </si>
  <si>
    <t xml:space="preserve">peas</t>
  </si>
  <si>
    <t xml:space="preserve">Lo Manthang (presence)</t>
  </si>
  <si>
    <t xml:space="preserve">S9</t>
  </si>
  <si>
    <t xml:space="preserve">Peas are a main crop (S9). Months are draft.</t>
  </si>
  <si>
    <t xml:space="preserve">CC023</t>
  </si>
  <si>
    <t xml:space="preserve">Not among Lo Manthang crops (S9).</t>
  </si>
  <si>
    <t xml:space="preserve">CC024</t>
  </si>
  <si>
    <t xml:space="preserve">CC025</t>
  </si>
  <si>
    <t xml:space="preserve">AN1</t>
  </si>
  <si>
    <t xml:space="preserve">~2,100–3,000</t>
  </si>
  <si>
    <t xml:space="preserve">Humla, Jumla (not an app location)</t>
  </si>
  <si>
    <t xml:space="preserve">analog</t>
  </si>
  <si>
    <t xml:space="preserve">Humla</t>
  </si>
  <si>
    <t xml:space="preserve">S1;S2</t>
  </si>
  <si>
    <t xml:space="preserve">Humla summer crops sown Baisakh–Jestha, harvested Ashoj–Kartik (S1).</t>
  </si>
  <si>
    <t xml:space="preserve">CC026</t>
  </si>
  <si>
    <t xml:space="preserve">finger millet</t>
  </si>
  <si>
    <t xml:space="preserve">Finger millet is a major Humla crop (S1). Same summer window.</t>
  </si>
  <si>
    <t xml:space="preserve">CC027</t>
  </si>
  <si>
    <t xml:space="preserve">Same summer window (S1).</t>
  </si>
  <si>
    <t xml:space="preserve">CC028</t>
  </si>
  <si>
    <t xml:space="preserve">National high hills</t>
  </si>
  <si>
    <t xml:space="preserve">S1;S3</t>
  </si>
  <si>
    <t xml:space="preserve">Harvest Jul–Sep for high hills (S3). Sowing months are draft.</t>
  </si>
  <si>
    <t xml:space="preserve">CC029</t>
  </si>
  <si>
    <t xml:space="preserve">Only the cycle length (over 7 months) is given in S1.</t>
  </si>
  <si>
    <t xml:space="preserve">CC030</t>
  </si>
  <si>
    <t xml:space="preserve">CC031</t>
  </si>
  <si>
    <t xml:space="preserve">NAT1</t>
  </si>
  <si>
    <t xml:space="preserve">1,800–2,200</t>
  </si>
  <si>
    <t xml:space="preserve">all Nepal</t>
  </si>
  <si>
    <t xml:space="preserve">reference</t>
  </si>
  <si>
    <t xml:space="preserve">Magh–Falgun</t>
  </si>
  <si>
    <t xml:space="preserve">National altitude zone</t>
  </si>
  <si>
    <t xml:space="preserve">1,800–2,200 m: plant Feb–Mar, harvest Jul–Aug.</t>
  </si>
  <si>
    <t xml:space="preserve">CC032</t>
  </si>
  <si>
    <t xml:space="preserve">NAT2</t>
  </si>
  <si>
    <t xml:space="preserve">2,200–3,000</t>
  </si>
  <si>
    <t xml:space="preserve">2,200–3,000 m: plant Mar–Apr, harvest Jul–Sep.</t>
  </si>
  <si>
    <t xml:space="preserve">CC033</t>
  </si>
  <si>
    <t xml:space="preserve">NAT3</t>
  </si>
  <si>
    <t xml:space="preserve">3,000–4,000</t>
  </si>
  <si>
    <t xml:space="preserve">3,000–4,000 m: plant late Apr–early May, harvest Sep–Oct.</t>
  </si>
  <si>
    <t xml:space="preserve">location</t>
  </si>
  <si>
    <t xml:space="preserve">district</t>
  </si>
  <si>
    <t xml:space="preserve">approx_elevation_m</t>
  </si>
  <si>
    <t xml:space="preserve">note</t>
  </si>
  <si>
    <t xml:space="preserve">Jomsom</t>
  </si>
  <si>
    <t xml:space="preserve">Mustang</t>
  </si>
  <si>
    <t xml:space="preserve">Approximate. Replace with Dataset 1 elevation</t>
  </si>
  <si>
    <t xml:space="preserve">Marpha</t>
  </si>
  <si>
    <t xml:space="preserve">Kagbeni</t>
  </si>
  <si>
    <t xml:space="preserve">Chame</t>
  </si>
  <si>
    <t xml:space="preserve">Pisang</t>
  </si>
  <si>
    <t xml:space="preserve">Braga</t>
  </si>
  <si>
    <t xml:space="preserve">Manang Village</t>
  </si>
  <si>
    <t xml:space="preserve">Charang</t>
  </si>
  <si>
    <t xml:space="preserve">Zone definitions</t>
  </si>
  <si>
    <t xml:space="preserve">zone_name</t>
  </si>
  <si>
    <t xml:space="preserve">locations</t>
  </si>
  <si>
    <t xml:space="preserve">Lower high-mountain valley</t>
  </si>
  <si>
    <t xml:space="preserve">Mid high-mountain</t>
  </si>
  <si>
    <t xml:space="preserve">Upper high-mountain</t>
  </si>
  <si>
    <t xml:space="preserve">Analog: Humla/Jumla high hills (reference only)</t>
  </si>
  <si>
    <t xml:space="preserve">National potato calendar, high hills (reference only)</t>
  </si>
  <si>
    <t xml:space="preserve">National potato calendar, mountains (reference only)</t>
  </si>
  <si>
    <t xml:space="preserve">zone / place</t>
  </si>
  <si>
    <t xml:space="preserve">fact</t>
  </si>
  <si>
    <t xml:space="preserve">Z1 (Marpha, Jomsom, Kagbeni)</t>
  </si>
  <si>
    <t xml:space="preserve">Winter barley sown in December; seedlings green by Mar–Apr; spring water need is about 7 times precipitation Feb–Apr</t>
  </si>
  <si>
    <t xml:space="preserve">Lower Mustang can give two harvests a year despite elevations near 3,000 m; Oct field mapping shows buckwheat, maize and potato as the autumn-season crops</t>
  </si>
  <si>
    <t xml:space="preserve">Z1, Z2</t>
  </si>
  <si>
    <t xml:space="preserve">Monsoon rain starts in July in Mustang; most Jharkot precipitation falls in July–August</t>
  </si>
  <si>
    <t xml:space="preserve">Z2 (Jharkot / Muktinath, 3,550 m)</t>
  </si>
  <si>
    <t xml:space="preserve">Meltwater irrigates barley and wheat from March to early June; buckwheat can be a second crop only after barley; Yartung festival in August comes before the harvest</t>
  </si>
  <si>
    <t xml:space="preserve">S7</t>
  </si>
  <si>
    <t xml:space="preserve">Z2 (Manang, villages 3,200–3,800 m)</t>
  </si>
  <si>
    <t xml:space="preserve">Summer cultivation only; valley covered by snow Nov–Feb; valley bottom is more prone to frost during germination and harvest than the south-facing slope</t>
  </si>
  <si>
    <t xml:space="preserve">Z2 (Manang)</t>
  </si>
  <si>
    <t xml:space="preserve">All farmers plant and harvest on dates fixed by the village headman with a lama, so planting dates are communal, not individual (important for comparing with model windows)</t>
  </si>
  <si>
    <t xml:space="preserve">S14</t>
  </si>
  <si>
    <t xml:space="preserve">Z3 (Lo Manthang)</t>
  </si>
  <si>
    <t xml:space="preserve">One crop per year. The community leader (Ghenba) sets sowing and harvest dates; harvest period is usually two weeks; Sakaluka ritual in Feb/March before cultivation</t>
  </si>
  <si>
    <t xml:space="preserve">S9;S15</t>
  </si>
  <si>
    <t xml:space="preserve">Z2 (Ngawal)</t>
  </si>
  <si>
    <t xml:space="preserve">Torkya festival in early November, after crops are brought home (weak source)</t>
  </si>
  <si>
    <t xml:space="preserve">S13</t>
  </si>
  <si>
    <t xml:space="preserve">title</t>
  </si>
  <si>
    <t xml:space="preserve">url</t>
  </si>
  <si>
    <t xml:space="preserve">type</t>
  </si>
  <si>
    <t xml:space="preserve">what it supports</t>
  </si>
  <si>
    <t xml:space="preserve">Cropping Pattern, Production Status and Farmer's Indigenous Practices of Local Crops in Humla District, Nepal (JIAAS)</t>
  </si>
  <si>
    <t xml:space="preserve">https://www.nepjol.info/index.php/JIAAS/article/view/56971</t>
  </si>
  <si>
    <t xml:space="preserve">Peer-reviewed</t>
  </si>
  <si>
    <t xml:space="preserve">Humla summer crops sown Baisakh–Jestha, harvested Ashoj–Kartik; winter naked barley and wheat need over 7 months</t>
  </si>
  <si>
    <t xml:space="preserve">S2</t>
  </si>
  <si>
    <t xml:space="preserve">Prospects and Potential of Buckwheat (Fagopyrum spp) Production in Nepal: A Review (JIAAS)</t>
  </si>
  <si>
    <t xml:space="preserve">https://www.nepjol.info/index.php/JIAAS/article/view/58593</t>
  </si>
  <si>
    <t xml:space="preserve">Buckwheat is a summer crop in the mountains; Mustang, Humla, Dolpa are major producers</t>
  </si>
  <si>
    <t xml:space="preserve">S3</t>
  </si>
  <si>
    <t xml:space="preserve">PotatoPro, Nepal potato market page</t>
  </si>
  <si>
    <t xml:space="preserve">https://www.potatopro.com/potato-markets/nepal</t>
  </si>
  <si>
    <t xml:space="preserve">Trade site</t>
  </si>
  <si>
    <t xml:space="preserve">High-hill potato harvest July–September</t>
  </si>
  <si>
    <t xml:space="preserve">S4</t>
  </si>
  <si>
    <t xml:space="preserve">Holy Mountain Treks, The people of Mustang</t>
  </si>
  <si>
    <t xml:space="preserve">https://holymountaintreks.com/blog/the-people-of-mustang</t>
  </si>
  <si>
    <t xml:space="preserve">Travel blog (weak)</t>
  </si>
  <si>
    <t xml:space="preserve">Wheat is planted first in Mustang, buckwheat follows. Do not cite as primary</t>
  </si>
  <si>
    <t xml:space="preserve">S5</t>
  </si>
  <si>
    <t xml:space="preserve">The Himalayan Times, Mustang farmers harvesting oats, buckwheat (photo caption)</t>
  </si>
  <si>
    <t xml:space="preserve">https://thehimalayantimes.com/ampArticle/177919</t>
  </si>
  <si>
    <t xml:space="preserve">News</t>
  </si>
  <si>
    <t xml:space="preserve">Harvest at Marpha on 30 Oct 2016</t>
  </si>
  <si>
    <t xml:space="preserve">Meier, Pohle, Grießinger (2022). Climate Change and New Markets: Land-Use Change in the Semi-Arid Trans-Himalaya, Nepal. Land 11(9):1567</t>
  </si>
  <si>
    <t xml:space="preserve">https://doi.org/10.3390/land11091567</t>
  </si>
  <si>
    <t xml:space="preserve">Peer-reviewed (open access)</t>
  </si>
  <si>
    <t xml:space="preserve">Kali Gandaki oases (Marpha, Jomsom, Kagbeni): winter barley sown in December, green Mar–Apr; two harvests a year possible; autumn crops buckwheat, maize, potato</t>
  </si>
  <si>
    <t xml:space="preserve">Holmelin and Aase (2013). Flexibility of Scope, Type and Temporality in Mustang, Nepal. Sustainability 5(4):1387</t>
  </si>
  <si>
    <t xml:space="preserve">https://doi.org/10.3390/su5041387</t>
  </si>
  <si>
    <t xml:space="preserve">Jharkot (3,550 m): barley and wheat irrigated Mar–early June; buckwheat as second crop only after barley; Yartung festival in August before harvest</t>
  </si>
  <si>
    <t xml:space="preserve">Aase, Chaudhary, Vetaas (2010). Farming flexibility and food security under climatic uncertainty: Manang, Nepal Himalaya. Area 42(2)</t>
  </si>
  <si>
    <t xml:space="preserve">https://www.researchgate.net/publication/227620514_Farming_flexibility_and_food_security_under_climatic_uncertainty_Manang_Nepal_Himalaya</t>
  </si>
  <si>
    <t xml:space="preserve">Manang: summer cultivation only; wheat, barley, buckwheat, potato; spring barley high up, winter barley lower; snow Nov–Feb; valley bottom more frost-prone</t>
  </si>
  <si>
    <t xml:space="preserve">Khattri and Pandey (2020). Agricultural adaptation to climate change in the trans-Himalaya: Loba community of Lo-manthang</t>
  </si>
  <si>
    <t xml:space="preserve">https://ijae.springeropen.com/articles/10.1186/s41257-020-00039-w</t>
  </si>
  <si>
    <t xml:space="preserve">Lo Manthang: main crops wheat, buckwheat, naked barley, peas, mustard, potatoes; community leader sets sowing and harvest dates; short peak periods</t>
  </si>
  <si>
    <t xml:space="preserve">Nepal potato history and overview, 'Cropping Calendars by Altitudinal Zone' table (secondary compilation; page could not be re-opened, table read from search result)</t>
  </si>
  <si>
    <t xml:space="preserve">https://beagle-flute-7j84.squarespace.com/s/Nepal_Potato-240218-mpmn.pdf</t>
  </si>
  <si>
    <t xml:space="preserve">Secondary compilation</t>
  </si>
  <si>
    <t xml:space="preserve">Potato: 2,200–3,000 m plant Mar–Apr, harvest Jul–Sep; 3,000–4,000 m plant late Apr–early May, harvest Sep–Oct</t>
  </si>
  <si>
    <t xml:space="preserve">S11</t>
  </si>
  <si>
    <t xml:space="preserve">Prospects and Potential of Buckwheat in Nepal: A Review (ResearchGate full text)</t>
  </si>
  <si>
    <t xml:space="preserve">https://www.researchgate.net/publication/374064108_Prospects_and_Potential_of_Buckwheat_Fagopyrum_spp_Production_in_Nepal_A_Review</t>
  </si>
  <si>
    <t xml:space="preserve">April–May is the optimum buckwheat sowing time above 2,000 m; Manang and Mustang named as buckwheat areas</t>
  </si>
  <si>
    <t xml:space="preserve">S12</t>
  </si>
  <si>
    <t xml:space="preserve">Barley Cultivation and Cultural Representations (Revue d'Etudes Tibetaines no. 33)</t>
  </si>
  <si>
    <t xml:space="preserve">https://d1i1jdw69xsqx0.cloudfront.net/digitalhimalaya/collections/journals/ret/pdf/ret_33_02.pdf</t>
  </si>
  <si>
    <t xml:space="preserve">Academic journal</t>
  </si>
  <si>
    <t xml:space="preserve">Highland spring barley sown around April, generally harvested Aug–Sep; winter-habit barley sown in autumn, harvested spring</t>
  </si>
  <si>
    <t xml:space="preserve">Destination Manang, Experience Tradition</t>
  </si>
  <si>
    <t xml:space="preserve">https://destinationmanang.org/experience-tradition/</t>
  </si>
  <si>
    <t xml:space="preserve">Tourism site (weak)</t>
  </si>
  <si>
    <t xml:space="preserve">Torkya festival in early November after harvest in Ngawal</t>
  </si>
  <si>
    <t xml:space="preserve">Aase and Vetaas (2007). Risk Management by Communal Decision in Trans-Himalayan Farming: Manang Valley. Human Ecology 35</t>
  </si>
  <si>
    <t xml:space="preserve">https://link.springer.com/article/10.1007/s10745-006-9057-6</t>
  </si>
  <si>
    <t xml:space="preserve">Peer-reviewed (paywalled, abstract only)</t>
  </si>
  <si>
    <t xml:space="preserve">In Manang all farmers plant and harvest on dates fixed by the village headman with a lama. Full text likely holds actual dates</t>
  </si>
  <si>
    <t xml:space="preserve">S15</t>
  </si>
  <si>
    <t xml:space="preserve">The Trans-Himalayan Livelihood: Opportunities and Challenges in Tourism Development in Upper Mustang</t>
  </si>
  <si>
    <t xml:space="preserve">https://www.researchgate.net/publication/374045528_The_Trans-Himalayan_Livelihood_Opportunities_and_Challenges_in_Tourism_Development_in_Upper_Mustang_Nepal</t>
  </si>
  <si>
    <t xml:space="preserve">Academic</t>
  </si>
  <si>
    <t xml:space="preserve">Upper Mustang agriculture is single-season; harvest period is usually two weeks set by the community leader; Sakaluka ritual in Feb/March before cultivation</t>
  </si>
  <si>
    <t xml:space="preserve">id</t>
  </si>
  <si>
    <t xml:space="preserve">where to get it</t>
  </si>
  <si>
    <t xml:space="preserve">what to ask for</t>
  </si>
  <si>
    <t xml:space="preserve">T1</t>
  </si>
  <si>
    <t xml:space="preserve">Agriculture Knowledge Centre (Krishi Gyan Kendra), Mustang and Manang</t>
  </si>
  <si>
    <t xml:space="preserve">Local crop calendar (sowing and harvest months by crop). Best primary source.</t>
  </si>
  <si>
    <t xml:space="preserve">T2</t>
  </si>
  <si>
    <t xml:space="preserve">MOALD Krishi Diary / annual crop calendar publications</t>
  </si>
  <si>
    <t xml:space="preserve">Official sowing and harvest months by ecological zone (mountain / high hill). Not found online in this search.</t>
  </si>
  <si>
    <t xml:space="preserve">T3</t>
  </si>
  <si>
    <t xml:space="preserve">NARC Horticulture Research Station, Marpha (Mustang)</t>
  </si>
  <si>
    <t xml:space="preserve">Local sowing dates for potato, buckwheat, barley.</t>
  </si>
  <si>
    <t xml:space="preserve">T4</t>
  </si>
  <si>
    <t xml:space="preserve">Full text of Aase and Vetaas (2007), Human Ecology 35:453–460 (S14)</t>
  </si>
  <si>
    <t xml:space="preserve">Likely gives the actual communal planting and harvest dates for Manang. Ask the library or the authors.</t>
  </si>
  <si>
    <t xml:space="preserve">T5</t>
  </si>
  <si>
    <t xml:space="preserve">Himalayan Crops (himalayancrops.org) landrace catalogue, 2019</t>
  </si>
  <si>
    <t xml:space="preserve">Per-crop sowing and harvest details for barley, naked barley, buckwheat, millets, beans.</t>
  </si>
  <si>
    <t xml:space="preserve">T6</t>
  </si>
  <si>
    <t xml:space="preserve">FAO GIEWS Nepal country brief crop calendar</t>
  </si>
  <si>
    <t xml:space="preserve">National calendar to sanity check months.</t>
  </si>
  <si>
    <t xml:space="preserve">T7</t>
  </si>
  <si>
    <t xml:space="preserve">Holmelin M.Sc. thesis (University of Bergen, 2010) and Aase 2017 book 'Climate Change and the Future of Himalayan Farming' (OUP)</t>
  </si>
  <si>
    <t xml:space="preserve">Possible month-level farming calendars for Mustang and Manang.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</si>
</sst>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26.85" hidden="false" customHeight="false" outlineLevel="0" collapsed="false">
      <c r="A19" s="2" t="s">
        <v>15</v>
      </c>
    </row>
    <row r="20" customFormat="false" ht="26.8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2" min="9" style="0" width="10"/>
    <col collapsed="false" customWidth="true" hidden="false" outlineLevel="0" max="14" min="13" style="0" width="18"/>
    <col collapsed="false" customWidth="true" hidden="false" outlineLevel="0" max="21" min="15" style="0" width="10"/>
    <col collapsed="false" customWidth="true" hidden="false" outlineLevel="0" max="22" min="22" style="0" width="28"/>
    <col collapsed="false" customWidth="true" hidden="false" outlineLevel="0" max="23" min="23" style="0" width="12"/>
    <col collapsed="false" customWidth="true" hidden="false" outlineLevel="0" max="24" min="24" style="0" width="70"/>
    <col collapsed="false" customWidth="true" hidden="false" outlineLevel="0" max="25" min="25" style="0" width="16"/>
  </cols>
  <sheetData>
    <row r="1" customFormat="false" ht="42" hidden="false" customHeight="tru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</row>
    <row r="2" customFormat="false" ht="23.85" hidden="false" customHeight="false" outlineLevel="0" collapsed="false">
      <c r="A2" s="5" t="s">
        <v>43</v>
      </c>
      <c r="B2" s="5" t="s">
        <v>44</v>
      </c>
      <c r="C2" s="6"/>
      <c r="D2" s="5" t="s">
        <v>45</v>
      </c>
      <c r="E2" s="5" t="s">
        <v>46</v>
      </c>
      <c r="F2" s="6" t="s">
        <v>47</v>
      </c>
      <c r="G2" s="5" t="s">
        <v>48</v>
      </c>
      <c r="H2" s="5" t="s">
        <v>49</v>
      </c>
      <c r="I2" s="7" t="n">
        <v>3</v>
      </c>
      <c r="J2" s="7" t="n">
        <v>4</v>
      </c>
      <c r="K2" s="7" t="n">
        <v>7</v>
      </c>
      <c r="L2" s="7" t="n">
        <v>9</v>
      </c>
      <c r="M2" s="5" t="s">
        <v>50</v>
      </c>
      <c r="N2" s="5" t="s">
        <v>51</v>
      </c>
      <c r="O2" s="7" t="n">
        <v>110</v>
      </c>
      <c r="P2" s="7" t="n">
        <v>150</v>
      </c>
      <c r="Q2" s="5" t="n">
        <f aca="false">IF(I2="","",DATE(2001,I2,1)-DATE(2001,1,1)+1)</f>
        <v>60</v>
      </c>
      <c r="R2" s="5" t="n">
        <f aca="false">IF(J2="","",DATE(2001,J2+1,1)-DATE(2001,1,1))</f>
        <v>120</v>
      </c>
      <c r="S2" s="5" t="n">
        <f aca="false">IF(K2="","",DATE(2001,K2,1)-DATE(2001,1,1)+1)</f>
        <v>182</v>
      </c>
      <c r="T2" s="5" t="n">
        <f aca="false">IF(L2="","",DATE(2001,L2+1,1)-DATE(2001,1,1))</f>
        <v>273</v>
      </c>
      <c r="U2" s="5" t="s">
        <v>52</v>
      </c>
      <c r="V2" s="6" t="s">
        <v>53</v>
      </c>
      <c r="W2" s="5" t="s">
        <v>54</v>
      </c>
      <c r="X2" s="6" t="s">
        <v>55</v>
      </c>
      <c r="Y2" s="7"/>
    </row>
    <row r="3" customFormat="false" ht="35.05" hidden="false" customHeight="false" outlineLevel="0" collapsed="false">
      <c r="A3" s="5" t="s">
        <v>56</v>
      </c>
      <c r="B3" s="5" t="s">
        <v>57</v>
      </c>
      <c r="C3" s="6" t="s">
        <v>58</v>
      </c>
      <c r="D3" s="5" t="s">
        <v>45</v>
      </c>
      <c r="E3" s="5" t="s">
        <v>46</v>
      </c>
      <c r="F3" s="6" t="s">
        <v>47</v>
      </c>
      <c r="G3" s="5" t="s">
        <v>48</v>
      </c>
      <c r="H3" s="5" t="s">
        <v>59</v>
      </c>
      <c r="I3" s="7" t="n">
        <v>12</v>
      </c>
      <c r="J3" s="7" t="n">
        <v>12</v>
      </c>
      <c r="K3" s="7" t="n">
        <v>6</v>
      </c>
      <c r="L3" s="7" t="n">
        <v>7</v>
      </c>
      <c r="M3" s="5" t="s">
        <v>60</v>
      </c>
      <c r="N3" s="5" t="s">
        <v>61</v>
      </c>
      <c r="O3" s="7" t="n">
        <v>180</v>
      </c>
      <c r="P3" s="7" t="n">
        <v>210</v>
      </c>
      <c r="Q3" s="5" t="n">
        <f aca="false">IF(I3="","",DATE(2001,I3,1)-DATE(2001,1,1)+1)</f>
        <v>335</v>
      </c>
      <c r="R3" s="5" t="n">
        <f aca="false">IF(J3="","",DATE(2001,J3+1,1)-DATE(2001,1,1))</f>
        <v>365</v>
      </c>
      <c r="S3" s="5" t="n">
        <f aca="false">IF(K3="","",DATE(2001,K3,1)-DATE(2001,1,1)+1)</f>
        <v>152</v>
      </c>
      <c r="T3" s="5" t="n">
        <f aca="false">IF(L3="","",DATE(2001,L3+1,1)-DATE(2001,1,1))</f>
        <v>212</v>
      </c>
      <c r="U3" s="5" t="s">
        <v>62</v>
      </c>
      <c r="V3" s="6" t="s">
        <v>63</v>
      </c>
      <c r="W3" s="5" t="s">
        <v>64</v>
      </c>
      <c r="X3" s="6" t="s">
        <v>65</v>
      </c>
      <c r="Y3" s="7"/>
    </row>
    <row r="4" customFormat="false" ht="15" hidden="false" customHeight="false" outlineLevel="0" collapsed="false">
      <c r="A4" s="5" t="s">
        <v>66</v>
      </c>
      <c r="B4" s="5" t="s">
        <v>57</v>
      </c>
      <c r="C4" s="6" t="s">
        <v>67</v>
      </c>
      <c r="D4" s="5" t="s">
        <v>45</v>
      </c>
      <c r="E4" s="5" t="s">
        <v>46</v>
      </c>
      <c r="F4" s="6" t="s">
        <v>47</v>
      </c>
      <c r="G4" s="5" t="s">
        <v>68</v>
      </c>
      <c r="H4" s="5" t="s">
        <v>49</v>
      </c>
      <c r="I4" s="7" t="n">
        <v>3</v>
      </c>
      <c r="J4" s="7" t="n">
        <v>4</v>
      </c>
      <c r="K4" s="7" t="n">
        <v>8</v>
      </c>
      <c r="L4" s="7" t="n">
        <v>9</v>
      </c>
      <c r="M4" s="5" t="s">
        <v>50</v>
      </c>
      <c r="N4" s="5" t="s">
        <v>69</v>
      </c>
      <c r="O4" s="7" t="n">
        <v>140</v>
      </c>
      <c r="P4" s="7" t="n">
        <v>170</v>
      </c>
      <c r="Q4" s="5" t="n">
        <f aca="false">IF(I4="","",DATE(2001,I4,1)-DATE(2001,1,1)+1)</f>
        <v>60</v>
      </c>
      <c r="R4" s="5" t="n">
        <f aca="false">IF(J4="","",DATE(2001,J4+1,1)-DATE(2001,1,1))</f>
        <v>120</v>
      </c>
      <c r="S4" s="5" t="n">
        <f aca="false">IF(K4="","",DATE(2001,K4,1)-DATE(2001,1,1)+1)</f>
        <v>213</v>
      </c>
      <c r="T4" s="5" t="n">
        <f aca="false">IF(L4="","",DATE(2001,L4+1,1)-DATE(2001,1,1))</f>
        <v>273</v>
      </c>
      <c r="U4" s="5" t="s">
        <v>70</v>
      </c>
      <c r="V4" s="6" t="s">
        <v>71</v>
      </c>
      <c r="W4" s="5"/>
      <c r="X4" s="6" t="s">
        <v>72</v>
      </c>
      <c r="Y4" s="7"/>
    </row>
    <row r="5" customFormat="false" ht="15" hidden="false" customHeight="false" outlineLevel="0" collapsed="false">
      <c r="A5" s="5" t="s">
        <v>73</v>
      </c>
      <c r="B5" s="5" t="s">
        <v>74</v>
      </c>
      <c r="C5" s="6" t="s">
        <v>67</v>
      </c>
      <c r="D5" s="5" t="s">
        <v>45</v>
      </c>
      <c r="E5" s="5" t="s">
        <v>46</v>
      </c>
      <c r="F5" s="6" t="s">
        <v>47</v>
      </c>
      <c r="G5" s="5" t="s">
        <v>48</v>
      </c>
      <c r="H5" s="5" t="s">
        <v>49</v>
      </c>
      <c r="I5" s="7" t="n">
        <v>3</v>
      </c>
      <c r="J5" s="7" t="n">
        <v>4</v>
      </c>
      <c r="K5" s="7" t="n">
        <v>8</v>
      </c>
      <c r="L5" s="7" t="n">
        <v>9</v>
      </c>
      <c r="M5" s="5" t="s">
        <v>50</v>
      </c>
      <c r="N5" s="5" t="s">
        <v>69</v>
      </c>
      <c r="O5" s="7" t="n">
        <v>140</v>
      </c>
      <c r="P5" s="7" t="n">
        <v>170</v>
      </c>
      <c r="Q5" s="5" t="n">
        <f aca="false">IF(I5="","",DATE(2001,I5,1)-DATE(2001,1,1)+1)</f>
        <v>60</v>
      </c>
      <c r="R5" s="5" t="n">
        <f aca="false">IF(J5="","",DATE(2001,J5+1,1)-DATE(2001,1,1))</f>
        <v>120</v>
      </c>
      <c r="S5" s="5" t="n">
        <f aca="false">IF(K5="","",DATE(2001,K5,1)-DATE(2001,1,1)+1)</f>
        <v>213</v>
      </c>
      <c r="T5" s="5" t="n">
        <f aca="false">IF(L5="","",DATE(2001,L5+1,1)-DATE(2001,1,1))</f>
        <v>273</v>
      </c>
      <c r="U5" s="5" t="s">
        <v>70</v>
      </c>
      <c r="V5" s="6" t="s">
        <v>75</v>
      </c>
      <c r="W5" s="5" t="s">
        <v>76</v>
      </c>
      <c r="X5" s="6" t="s">
        <v>77</v>
      </c>
      <c r="Y5" s="7"/>
    </row>
    <row r="6" customFormat="false" ht="15" hidden="false" customHeight="false" outlineLevel="0" collapsed="false">
      <c r="A6" s="5" t="s">
        <v>78</v>
      </c>
      <c r="B6" s="5" t="s">
        <v>74</v>
      </c>
      <c r="C6" s="6" t="s">
        <v>79</v>
      </c>
      <c r="D6" s="5" t="s">
        <v>45</v>
      </c>
      <c r="E6" s="5" t="s">
        <v>46</v>
      </c>
      <c r="F6" s="6" t="s">
        <v>47</v>
      </c>
      <c r="G6" s="5" t="s">
        <v>68</v>
      </c>
      <c r="H6" s="5" t="s">
        <v>59</v>
      </c>
      <c r="I6" s="7" t="n">
        <v>10</v>
      </c>
      <c r="J6" s="7" t="n">
        <v>11</v>
      </c>
      <c r="K6" s="7" t="n">
        <v>6</v>
      </c>
      <c r="L6" s="7" t="n">
        <v>7</v>
      </c>
      <c r="M6" s="5" t="s">
        <v>80</v>
      </c>
      <c r="N6" s="5" t="s">
        <v>61</v>
      </c>
      <c r="O6" s="7" t="n">
        <v>210</v>
      </c>
      <c r="P6" s="7" t="n">
        <v>250</v>
      </c>
      <c r="Q6" s="5" t="n">
        <f aca="false">IF(I6="","",DATE(2001,I6,1)-DATE(2001,1,1)+1)</f>
        <v>274</v>
      </c>
      <c r="R6" s="5" t="n">
        <f aca="false">IF(J6="","",DATE(2001,J6+1,1)-DATE(2001,1,1))</f>
        <v>334</v>
      </c>
      <c r="S6" s="5" t="n">
        <f aca="false">IF(K6="","",DATE(2001,K6,1)-DATE(2001,1,1)+1)</f>
        <v>152</v>
      </c>
      <c r="T6" s="5" t="n">
        <f aca="false">IF(L6="","",DATE(2001,L6+1,1)-DATE(2001,1,1))</f>
        <v>212</v>
      </c>
      <c r="U6" s="5" t="s">
        <v>70</v>
      </c>
      <c r="V6" s="6" t="s">
        <v>81</v>
      </c>
      <c r="W6" s="5" t="s">
        <v>82</v>
      </c>
      <c r="X6" s="6" t="s">
        <v>83</v>
      </c>
      <c r="Y6" s="7"/>
    </row>
    <row r="7" customFormat="false" ht="35.05" hidden="false" customHeight="false" outlineLevel="0" collapsed="false">
      <c r="A7" s="5" t="s">
        <v>84</v>
      </c>
      <c r="B7" s="5" t="s">
        <v>85</v>
      </c>
      <c r="C7" s="6" t="s">
        <v>86</v>
      </c>
      <c r="D7" s="5" t="s">
        <v>45</v>
      </c>
      <c r="E7" s="5" t="s">
        <v>46</v>
      </c>
      <c r="F7" s="6" t="s">
        <v>47</v>
      </c>
      <c r="G7" s="5" t="s">
        <v>48</v>
      </c>
      <c r="H7" s="5" t="s">
        <v>87</v>
      </c>
      <c r="I7" s="7" t="n">
        <v>4</v>
      </c>
      <c r="J7" s="7" t="n">
        <v>6</v>
      </c>
      <c r="K7" s="7" t="n">
        <v>9</v>
      </c>
      <c r="L7" s="7" t="n">
        <v>10</v>
      </c>
      <c r="M7" s="5" t="s">
        <v>88</v>
      </c>
      <c r="N7" s="5" t="s">
        <v>89</v>
      </c>
      <c r="O7" s="7" t="n">
        <v>90</v>
      </c>
      <c r="P7" s="7" t="n">
        <v>120</v>
      </c>
      <c r="Q7" s="5" t="n">
        <f aca="false">IF(I7="","",DATE(2001,I7,1)-DATE(2001,1,1)+1)</f>
        <v>91</v>
      </c>
      <c r="R7" s="5" t="n">
        <f aca="false">IF(J7="","",DATE(2001,J7+1,1)-DATE(2001,1,1))</f>
        <v>181</v>
      </c>
      <c r="S7" s="5" t="n">
        <f aca="false">IF(K7="","",DATE(2001,K7,1)-DATE(2001,1,1)+1)</f>
        <v>244</v>
      </c>
      <c r="T7" s="5" t="n">
        <f aca="false">IF(L7="","",DATE(2001,L7+1,1)-DATE(2001,1,1))</f>
        <v>304</v>
      </c>
      <c r="U7" s="5" t="s">
        <v>62</v>
      </c>
      <c r="V7" s="6" t="s">
        <v>90</v>
      </c>
      <c r="W7" s="5" t="s">
        <v>91</v>
      </c>
      <c r="X7" s="6" t="s">
        <v>92</v>
      </c>
      <c r="Y7" s="7"/>
    </row>
    <row r="8" customFormat="false" ht="23.85" hidden="false" customHeight="false" outlineLevel="0" collapsed="false">
      <c r="A8" s="5" t="s">
        <v>93</v>
      </c>
      <c r="B8" s="5" t="s">
        <v>94</v>
      </c>
      <c r="C8" s="6"/>
      <c r="D8" s="5" t="s">
        <v>45</v>
      </c>
      <c r="E8" s="5" t="s">
        <v>46</v>
      </c>
      <c r="F8" s="6" t="s">
        <v>47</v>
      </c>
      <c r="G8" s="5" t="s">
        <v>48</v>
      </c>
      <c r="H8" s="5" t="s">
        <v>87</v>
      </c>
      <c r="I8" s="7" t="n">
        <v>4</v>
      </c>
      <c r="J8" s="7" t="n">
        <v>5</v>
      </c>
      <c r="K8" s="7" t="n">
        <v>9</v>
      </c>
      <c r="L8" s="7" t="n">
        <v>10</v>
      </c>
      <c r="M8" s="5" t="s">
        <v>88</v>
      </c>
      <c r="N8" s="5" t="s">
        <v>89</v>
      </c>
      <c r="O8" s="7" t="n">
        <v>120</v>
      </c>
      <c r="P8" s="7" t="n">
        <v>160</v>
      </c>
      <c r="Q8" s="5" t="n">
        <f aca="false">IF(I8="","",DATE(2001,I8,1)-DATE(2001,1,1)+1)</f>
        <v>91</v>
      </c>
      <c r="R8" s="5" t="n">
        <f aca="false">IF(J8="","",DATE(2001,J8+1,1)-DATE(2001,1,1))</f>
        <v>151</v>
      </c>
      <c r="S8" s="5" t="n">
        <f aca="false">IF(K8="","",DATE(2001,K8,1)-DATE(2001,1,1)+1)</f>
        <v>244</v>
      </c>
      <c r="T8" s="5" t="n">
        <f aca="false">IF(L8="","",DATE(2001,L8+1,1)-DATE(2001,1,1))</f>
        <v>304</v>
      </c>
      <c r="U8" s="5" t="s">
        <v>70</v>
      </c>
      <c r="V8" s="6" t="s">
        <v>95</v>
      </c>
      <c r="W8" s="5" t="s">
        <v>96</v>
      </c>
      <c r="X8" s="6" t="s">
        <v>97</v>
      </c>
      <c r="Y8" s="7"/>
    </row>
    <row r="9" customFormat="false" ht="15" hidden="false" customHeight="false" outlineLevel="0" collapsed="false">
      <c r="A9" s="5" t="s">
        <v>98</v>
      </c>
      <c r="B9" s="5" t="s">
        <v>99</v>
      </c>
      <c r="C9" s="6" t="s">
        <v>100</v>
      </c>
      <c r="D9" s="5" t="s">
        <v>45</v>
      </c>
      <c r="E9" s="5" t="s">
        <v>46</v>
      </c>
      <c r="F9" s="6" t="s">
        <v>47</v>
      </c>
      <c r="G9" s="5" t="s">
        <v>68</v>
      </c>
      <c r="H9" s="5" t="s">
        <v>87</v>
      </c>
      <c r="I9" s="7" t="n">
        <v>5</v>
      </c>
      <c r="J9" s="7" t="n">
        <v>6</v>
      </c>
      <c r="K9" s="7" t="n">
        <v>9</v>
      </c>
      <c r="L9" s="7" t="n">
        <v>10</v>
      </c>
      <c r="M9" s="5" t="s">
        <v>101</v>
      </c>
      <c r="N9" s="5" t="s">
        <v>89</v>
      </c>
      <c r="O9" s="7" t="n">
        <v>90</v>
      </c>
      <c r="P9" s="7" t="n">
        <v>120</v>
      </c>
      <c r="Q9" s="5" t="n">
        <f aca="false">IF(I9="","",DATE(2001,I9,1)-DATE(2001,1,1)+1)</f>
        <v>121</v>
      </c>
      <c r="R9" s="5" t="n">
        <f aca="false">IF(J9="","",DATE(2001,J9+1,1)-DATE(2001,1,1))</f>
        <v>181</v>
      </c>
      <c r="S9" s="5" t="n">
        <f aca="false">IF(K9="","",DATE(2001,K9,1)-DATE(2001,1,1)+1)</f>
        <v>244</v>
      </c>
      <c r="T9" s="5" t="n">
        <f aca="false">IF(L9="","",DATE(2001,L9+1,1)-DATE(2001,1,1))</f>
        <v>304</v>
      </c>
      <c r="U9" s="5" t="s">
        <v>70</v>
      </c>
      <c r="V9" s="6" t="s">
        <v>71</v>
      </c>
      <c r="W9" s="5"/>
      <c r="X9" s="6" t="s">
        <v>102</v>
      </c>
      <c r="Y9" s="7"/>
    </row>
    <row r="10" customFormat="false" ht="15" hidden="false" customHeight="false" outlineLevel="0" collapsed="false">
      <c r="A10" s="5" t="s">
        <v>103</v>
      </c>
      <c r="B10" s="5" t="s">
        <v>104</v>
      </c>
      <c r="C10" s="6" t="s">
        <v>105</v>
      </c>
      <c r="D10" s="5" t="s">
        <v>45</v>
      </c>
      <c r="E10" s="5" t="s">
        <v>46</v>
      </c>
      <c r="F10" s="6" t="s">
        <v>47</v>
      </c>
      <c r="G10" s="5" t="s">
        <v>68</v>
      </c>
      <c r="H10" s="5" t="s">
        <v>87</v>
      </c>
      <c r="I10" s="7" t="n">
        <v>5</v>
      </c>
      <c r="J10" s="7" t="n">
        <v>6</v>
      </c>
      <c r="K10" s="7" t="n">
        <v>9</v>
      </c>
      <c r="L10" s="7" t="n">
        <v>10</v>
      </c>
      <c r="M10" s="5" t="s">
        <v>101</v>
      </c>
      <c r="N10" s="5" t="s">
        <v>89</v>
      </c>
      <c r="O10" s="7" t="n">
        <v>100</v>
      </c>
      <c r="P10" s="7" t="n">
        <v>130</v>
      </c>
      <c r="Q10" s="5" t="n">
        <f aca="false">IF(I10="","",DATE(2001,I10,1)-DATE(2001,1,1)+1)</f>
        <v>121</v>
      </c>
      <c r="R10" s="5" t="n">
        <f aca="false">IF(J10="","",DATE(2001,J10+1,1)-DATE(2001,1,1))</f>
        <v>181</v>
      </c>
      <c r="S10" s="5" t="n">
        <f aca="false">IF(K10="","",DATE(2001,K10,1)-DATE(2001,1,1)+1)</f>
        <v>244</v>
      </c>
      <c r="T10" s="5" t="n">
        <f aca="false">IF(L10="","",DATE(2001,L10+1,1)-DATE(2001,1,1))</f>
        <v>304</v>
      </c>
      <c r="U10" s="5" t="s">
        <v>70</v>
      </c>
      <c r="V10" s="6" t="s">
        <v>71</v>
      </c>
      <c r="W10" s="5" t="s">
        <v>96</v>
      </c>
      <c r="X10" s="6" t="s">
        <v>106</v>
      </c>
      <c r="Y10" s="7"/>
    </row>
    <row r="11" customFormat="false" ht="23.85" hidden="false" customHeight="false" outlineLevel="0" collapsed="false">
      <c r="A11" s="5" t="s">
        <v>107</v>
      </c>
      <c r="B11" s="5" t="s">
        <v>44</v>
      </c>
      <c r="C11" s="6"/>
      <c r="D11" s="5" t="s">
        <v>108</v>
      </c>
      <c r="E11" s="5" t="s">
        <v>109</v>
      </c>
      <c r="F11" s="6" t="s">
        <v>110</v>
      </c>
      <c r="G11" s="5" t="s">
        <v>48</v>
      </c>
      <c r="H11" s="5" t="s">
        <v>49</v>
      </c>
      <c r="I11" s="7" t="n">
        <v>4</v>
      </c>
      <c r="J11" s="7" t="n">
        <v>5</v>
      </c>
      <c r="K11" s="7" t="n">
        <v>9</v>
      </c>
      <c r="L11" s="7" t="n">
        <v>10</v>
      </c>
      <c r="M11" s="5" t="s">
        <v>88</v>
      </c>
      <c r="N11" s="5" t="s">
        <v>89</v>
      </c>
      <c r="O11" s="7" t="n">
        <v>120</v>
      </c>
      <c r="P11" s="7" t="n">
        <v>150</v>
      </c>
      <c r="Q11" s="5" t="n">
        <f aca="false">IF(I11="","",DATE(2001,I11,1)-DATE(2001,1,1)+1)</f>
        <v>91</v>
      </c>
      <c r="R11" s="5" t="n">
        <f aca="false">IF(J11="","",DATE(2001,J11+1,1)-DATE(2001,1,1))</f>
        <v>151</v>
      </c>
      <c r="S11" s="5" t="n">
        <f aca="false">IF(K11="","",DATE(2001,K11,1)-DATE(2001,1,1)+1)</f>
        <v>244</v>
      </c>
      <c r="T11" s="5" t="n">
        <f aca="false">IF(L11="","",DATE(2001,L11+1,1)-DATE(2001,1,1))</f>
        <v>304</v>
      </c>
      <c r="U11" s="5" t="s">
        <v>52</v>
      </c>
      <c r="V11" s="6" t="s">
        <v>111</v>
      </c>
      <c r="W11" s="5" t="s">
        <v>112</v>
      </c>
      <c r="X11" s="6" t="s">
        <v>113</v>
      </c>
      <c r="Y11" s="7"/>
    </row>
    <row r="12" customFormat="false" ht="35.05" hidden="false" customHeight="false" outlineLevel="0" collapsed="false">
      <c r="A12" s="5" t="s">
        <v>114</v>
      </c>
      <c r="B12" s="5" t="s">
        <v>57</v>
      </c>
      <c r="C12" s="6" t="s">
        <v>67</v>
      </c>
      <c r="D12" s="5" t="s">
        <v>108</v>
      </c>
      <c r="E12" s="5" t="s">
        <v>109</v>
      </c>
      <c r="F12" s="6" t="s">
        <v>110</v>
      </c>
      <c r="G12" s="5" t="s">
        <v>48</v>
      </c>
      <c r="H12" s="5" t="s">
        <v>49</v>
      </c>
      <c r="I12" s="7" t="n">
        <v>4</v>
      </c>
      <c r="J12" s="7" t="n">
        <v>5</v>
      </c>
      <c r="K12" s="7" t="n">
        <v>8</v>
      </c>
      <c r="L12" s="7" t="n">
        <v>9</v>
      </c>
      <c r="M12" s="5" t="s">
        <v>88</v>
      </c>
      <c r="N12" s="5" t="s">
        <v>69</v>
      </c>
      <c r="O12" s="7" t="n">
        <v>130</v>
      </c>
      <c r="P12" s="7" t="n">
        <v>160</v>
      </c>
      <c r="Q12" s="5" t="n">
        <f aca="false">IF(I12="","",DATE(2001,I12,1)-DATE(2001,1,1)+1)</f>
        <v>91</v>
      </c>
      <c r="R12" s="5" t="n">
        <f aca="false">IF(J12="","",DATE(2001,J12+1,1)-DATE(2001,1,1))</f>
        <v>151</v>
      </c>
      <c r="S12" s="5" t="n">
        <f aca="false">IF(K12="","",DATE(2001,K12,1)-DATE(2001,1,1)+1)</f>
        <v>213</v>
      </c>
      <c r="T12" s="5" t="n">
        <f aca="false">IF(L12="","",DATE(2001,L12+1,1)-DATE(2001,1,1))</f>
        <v>273</v>
      </c>
      <c r="U12" s="5" t="s">
        <v>62</v>
      </c>
      <c r="V12" s="6" t="s">
        <v>115</v>
      </c>
      <c r="W12" s="5" t="s">
        <v>116</v>
      </c>
      <c r="X12" s="6" t="s">
        <v>117</v>
      </c>
      <c r="Y12" s="7"/>
    </row>
    <row r="13" customFormat="false" ht="23.85" hidden="false" customHeight="false" outlineLevel="0" collapsed="false">
      <c r="A13" s="5" t="s">
        <v>118</v>
      </c>
      <c r="B13" s="5" t="s">
        <v>57</v>
      </c>
      <c r="C13" s="6" t="s">
        <v>79</v>
      </c>
      <c r="D13" s="5" t="s">
        <v>108</v>
      </c>
      <c r="E13" s="5" t="s">
        <v>109</v>
      </c>
      <c r="F13" s="6" t="s">
        <v>110</v>
      </c>
      <c r="G13" s="5" t="s">
        <v>68</v>
      </c>
      <c r="H13" s="5" t="s">
        <v>59</v>
      </c>
      <c r="I13" s="7"/>
      <c r="J13" s="7"/>
      <c r="K13" s="7"/>
      <c r="L13" s="7"/>
      <c r="M13" s="5"/>
      <c r="N13" s="5"/>
      <c r="O13" s="7" t="n">
        <v>210</v>
      </c>
      <c r="P13" s="7"/>
      <c r="Q13" s="5" t="str">
        <f aca="false">IF(I13="","",DATE(2001,I13,1)-DATE(2001,1,1)+1)</f>
        <v/>
      </c>
      <c r="R13" s="5" t="str">
        <f aca="false">IF(J13="","",DATE(2001,J13+1,1)-DATE(2001,1,1))</f>
        <v/>
      </c>
      <c r="S13" s="5" t="str">
        <f aca="false">IF(K13="","",DATE(2001,K13,1)-DATE(2001,1,1)+1)</f>
        <v/>
      </c>
      <c r="T13" s="5" t="str">
        <f aca="false">IF(L13="","",DATE(2001,L13+1,1)-DATE(2001,1,1))</f>
        <v/>
      </c>
      <c r="U13" s="5" t="s">
        <v>52</v>
      </c>
      <c r="V13" s="6" t="s">
        <v>119</v>
      </c>
      <c r="W13" s="5" t="s">
        <v>120</v>
      </c>
      <c r="X13" s="6" t="s">
        <v>121</v>
      </c>
      <c r="Y13" s="7"/>
    </row>
    <row r="14" customFormat="false" ht="23.85" hidden="false" customHeight="false" outlineLevel="0" collapsed="false">
      <c r="A14" s="5" t="s">
        <v>122</v>
      </c>
      <c r="B14" s="5" t="s">
        <v>74</v>
      </c>
      <c r="C14" s="6" t="s">
        <v>67</v>
      </c>
      <c r="D14" s="5" t="s">
        <v>108</v>
      </c>
      <c r="E14" s="5" t="s">
        <v>109</v>
      </c>
      <c r="F14" s="6" t="s">
        <v>110</v>
      </c>
      <c r="G14" s="5" t="s">
        <v>48</v>
      </c>
      <c r="H14" s="5" t="s">
        <v>49</v>
      </c>
      <c r="I14" s="7" t="n">
        <v>3</v>
      </c>
      <c r="J14" s="7" t="n">
        <v>5</v>
      </c>
      <c r="K14" s="7" t="n">
        <v>9</v>
      </c>
      <c r="L14" s="7" t="n">
        <v>10</v>
      </c>
      <c r="M14" s="5" t="s">
        <v>50</v>
      </c>
      <c r="N14" s="5" t="s">
        <v>89</v>
      </c>
      <c r="O14" s="7" t="n">
        <v>140</v>
      </c>
      <c r="P14" s="7" t="n">
        <v>170</v>
      </c>
      <c r="Q14" s="5" t="n">
        <f aca="false">IF(I14="","",DATE(2001,I14,1)-DATE(2001,1,1)+1)</f>
        <v>60</v>
      </c>
      <c r="R14" s="5" t="n">
        <f aca="false">IF(J14="","",DATE(2001,J14+1,1)-DATE(2001,1,1))</f>
        <v>151</v>
      </c>
      <c r="S14" s="5" t="n">
        <f aca="false">IF(K14="","",DATE(2001,K14,1)-DATE(2001,1,1)+1)</f>
        <v>244</v>
      </c>
      <c r="T14" s="5" t="n">
        <f aca="false">IF(L14="","",DATE(2001,L14+1,1)-DATE(2001,1,1))</f>
        <v>304</v>
      </c>
      <c r="U14" s="5" t="s">
        <v>62</v>
      </c>
      <c r="V14" s="6" t="s">
        <v>115</v>
      </c>
      <c r="W14" s="5" t="s">
        <v>123</v>
      </c>
      <c r="X14" s="6" t="s">
        <v>124</v>
      </c>
      <c r="Y14" s="7"/>
    </row>
    <row r="15" customFormat="false" ht="23.85" hidden="false" customHeight="false" outlineLevel="0" collapsed="false">
      <c r="A15" s="5" t="s">
        <v>125</v>
      </c>
      <c r="B15" s="5" t="s">
        <v>85</v>
      </c>
      <c r="C15" s="6" t="s">
        <v>86</v>
      </c>
      <c r="D15" s="5" t="s">
        <v>108</v>
      </c>
      <c r="E15" s="5" t="s">
        <v>109</v>
      </c>
      <c r="F15" s="6" t="s">
        <v>110</v>
      </c>
      <c r="G15" s="5" t="s">
        <v>48</v>
      </c>
      <c r="H15" s="5" t="s">
        <v>87</v>
      </c>
      <c r="I15" s="7" t="n">
        <v>4</v>
      </c>
      <c r="J15" s="7" t="n">
        <v>6</v>
      </c>
      <c r="K15" s="7" t="n">
        <v>9</v>
      </c>
      <c r="L15" s="7" t="n">
        <v>10</v>
      </c>
      <c r="M15" s="5" t="s">
        <v>88</v>
      </c>
      <c r="N15" s="5" t="s">
        <v>89</v>
      </c>
      <c r="O15" s="7" t="n">
        <v>90</v>
      </c>
      <c r="P15" s="7" t="n">
        <v>115</v>
      </c>
      <c r="Q15" s="5" t="n">
        <f aca="false">IF(I15="","",DATE(2001,I15,1)-DATE(2001,1,1)+1)</f>
        <v>91</v>
      </c>
      <c r="R15" s="5" t="n">
        <f aca="false">IF(J15="","",DATE(2001,J15+1,1)-DATE(2001,1,1))</f>
        <v>181</v>
      </c>
      <c r="S15" s="5" t="n">
        <f aca="false">IF(K15="","",DATE(2001,K15,1)-DATE(2001,1,1)+1)</f>
        <v>244</v>
      </c>
      <c r="T15" s="5" t="n">
        <f aca="false">IF(L15="","",DATE(2001,L15+1,1)-DATE(2001,1,1))</f>
        <v>304</v>
      </c>
      <c r="U15" s="5" t="s">
        <v>62</v>
      </c>
      <c r="V15" s="6" t="s">
        <v>119</v>
      </c>
      <c r="W15" s="5" t="s">
        <v>126</v>
      </c>
      <c r="X15" s="6" t="s">
        <v>127</v>
      </c>
      <c r="Y15" s="7"/>
    </row>
    <row r="16" customFormat="false" ht="23.85" hidden="false" customHeight="false" outlineLevel="0" collapsed="false">
      <c r="A16" s="5" t="s">
        <v>128</v>
      </c>
      <c r="B16" s="5" t="s">
        <v>104</v>
      </c>
      <c r="C16" s="6" t="s">
        <v>105</v>
      </c>
      <c r="D16" s="5" t="s">
        <v>108</v>
      </c>
      <c r="E16" s="5" t="s">
        <v>109</v>
      </c>
      <c r="F16" s="6" t="s">
        <v>110</v>
      </c>
      <c r="G16" s="5" t="s">
        <v>68</v>
      </c>
      <c r="H16" s="5" t="s">
        <v>87</v>
      </c>
      <c r="I16" s="7" t="n">
        <v>5</v>
      </c>
      <c r="J16" s="7" t="n">
        <v>6</v>
      </c>
      <c r="K16" s="7" t="n">
        <v>9</v>
      </c>
      <c r="L16" s="7" t="n">
        <v>10</v>
      </c>
      <c r="M16" s="5" t="s">
        <v>101</v>
      </c>
      <c r="N16" s="5" t="s">
        <v>89</v>
      </c>
      <c r="O16" s="7" t="n">
        <v>100</v>
      </c>
      <c r="P16" s="7" t="n">
        <v>130</v>
      </c>
      <c r="Q16" s="5" t="n">
        <f aca="false">IF(I16="","",DATE(2001,I16,1)-DATE(2001,1,1)+1)</f>
        <v>121</v>
      </c>
      <c r="R16" s="5" t="n">
        <f aca="false">IF(J16="","",DATE(2001,J16+1,1)-DATE(2001,1,1))</f>
        <v>181</v>
      </c>
      <c r="S16" s="5" t="n">
        <f aca="false">IF(K16="","",DATE(2001,K16,1)-DATE(2001,1,1)+1)</f>
        <v>244</v>
      </c>
      <c r="T16" s="5" t="n">
        <f aca="false">IF(L16="","",DATE(2001,L16+1,1)-DATE(2001,1,1))</f>
        <v>304</v>
      </c>
      <c r="U16" s="5" t="s">
        <v>70</v>
      </c>
      <c r="V16" s="6" t="s">
        <v>71</v>
      </c>
      <c r="W16" s="5"/>
      <c r="X16" s="6" t="s">
        <v>129</v>
      </c>
      <c r="Y16" s="7"/>
    </row>
    <row r="17" customFormat="false" ht="23.85" hidden="false" customHeight="false" outlineLevel="0" collapsed="false">
      <c r="A17" s="5" t="s">
        <v>130</v>
      </c>
      <c r="B17" s="5" t="s">
        <v>94</v>
      </c>
      <c r="C17" s="6"/>
      <c r="D17" s="5" t="s">
        <v>108</v>
      </c>
      <c r="E17" s="5" t="s">
        <v>109</v>
      </c>
      <c r="F17" s="6" t="s">
        <v>110</v>
      </c>
      <c r="G17" s="5" t="s">
        <v>131</v>
      </c>
      <c r="H17" s="5"/>
      <c r="I17" s="7"/>
      <c r="J17" s="7"/>
      <c r="K17" s="7"/>
      <c r="L17" s="7"/>
      <c r="M17" s="5"/>
      <c r="N17" s="5"/>
      <c r="O17" s="7"/>
      <c r="P17" s="7"/>
      <c r="Q17" s="5" t="str">
        <f aca="false">IF(I17="","",DATE(2001,I17,1)-DATE(2001,1,1)+1)</f>
        <v/>
      </c>
      <c r="R17" s="5" t="str">
        <f aca="false">IF(J17="","",DATE(2001,J17+1,1)-DATE(2001,1,1))</f>
        <v/>
      </c>
      <c r="S17" s="5" t="str">
        <f aca="false">IF(K17="","",DATE(2001,K17,1)-DATE(2001,1,1)+1)</f>
        <v/>
      </c>
      <c r="T17" s="5" t="str">
        <f aca="false">IF(L17="","",DATE(2001,L17+1,1)-DATE(2001,1,1))</f>
        <v/>
      </c>
      <c r="U17" s="5" t="s">
        <v>70</v>
      </c>
      <c r="V17" s="6" t="s">
        <v>71</v>
      </c>
      <c r="W17" s="5"/>
      <c r="X17" s="6" t="s">
        <v>132</v>
      </c>
      <c r="Y17" s="7"/>
    </row>
    <row r="18" customFormat="false" ht="23.85" hidden="false" customHeight="false" outlineLevel="0" collapsed="false">
      <c r="A18" s="5" t="s">
        <v>133</v>
      </c>
      <c r="B18" s="5" t="s">
        <v>99</v>
      </c>
      <c r="C18" s="6"/>
      <c r="D18" s="5" t="s">
        <v>108</v>
      </c>
      <c r="E18" s="5" t="s">
        <v>109</v>
      </c>
      <c r="F18" s="6" t="s">
        <v>110</v>
      </c>
      <c r="G18" s="5" t="s">
        <v>131</v>
      </c>
      <c r="H18" s="5"/>
      <c r="I18" s="7"/>
      <c r="J18" s="7"/>
      <c r="K18" s="7"/>
      <c r="L18" s="7"/>
      <c r="M18" s="5"/>
      <c r="N18" s="5"/>
      <c r="O18" s="7"/>
      <c r="P18" s="7"/>
      <c r="Q18" s="5" t="str">
        <f aca="false">IF(I18="","",DATE(2001,I18,1)-DATE(2001,1,1)+1)</f>
        <v/>
      </c>
      <c r="R18" s="5" t="str">
        <f aca="false">IF(J18="","",DATE(2001,J18+1,1)-DATE(2001,1,1))</f>
        <v/>
      </c>
      <c r="S18" s="5" t="str">
        <f aca="false">IF(K18="","",DATE(2001,K18,1)-DATE(2001,1,1)+1)</f>
        <v/>
      </c>
      <c r="T18" s="5" t="str">
        <f aca="false">IF(L18="","",DATE(2001,L18+1,1)-DATE(2001,1,1))</f>
        <v/>
      </c>
      <c r="U18" s="5" t="s">
        <v>70</v>
      </c>
      <c r="V18" s="6" t="s">
        <v>71</v>
      </c>
      <c r="W18" s="5"/>
      <c r="X18" s="6" t="s">
        <v>134</v>
      </c>
      <c r="Y18" s="7"/>
    </row>
    <row r="19" customFormat="false" ht="23.85" hidden="false" customHeight="false" outlineLevel="0" collapsed="false">
      <c r="A19" s="5" t="s">
        <v>135</v>
      </c>
      <c r="B19" s="5" t="s">
        <v>44</v>
      </c>
      <c r="C19" s="6"/>
      <c r="D19" s="5" t="s">
        <v>136</v>
      </c>
      <c r="E19" s="5" t="s">
        <v>137</v>
      </c>
      <c r="F19" s="6" t="s">
        <v>138</v>
      </c>
      <c r="G19" s="5" t="s">
        <v>48</v>
      </c>
      <c r="H19" s="5" t="s">
        <v>49</v>
      </c>
      <c r="I19" s="7" t="n">
        <v>4</v>
      </c>
      <c r="J19" s="7" t="n">
        <v>5</v>
      </c>
      <c r="K19" s="7" t="n">
        <v>9</v>
      </c>
      <c r="L19" s="7" t="n">
        <v>10</v>
      </c>
      <c r="M19" s="5" t="s">
        <v>88</v>
      </c>
      <c r="N19" s="5" t="s">
        <v>89</v>
      </c>
      <c r="O19" s="7" t="n">
        <v>120</v>
      </c>
      <c r="P19" s="7" t="n">
        <v>150</v>
      </c>
      <c r="Q19" s="5" t="n">
        <f aca="false">IF(I19="","",DATE(2001,I19,1)-DATE(2001,1,1)+1)</f>
        <v>91</v>
      </c>
      <c r="R19" s="5" t="n">
        <f aca="false">IF(J19="","",DATE(2001,J19+1,1)-DATE(2001,1,1))</f>
        <v>151</v>
      </c>
      <c r="S19" s="5" t="n">
        <f aca="false">IF(K19="","",DATE(2001,K19,1)-DATE(2001,1,1)+1)</f>
        <v>244</v>
      </c>
      <c r="T19" s="5" t="n">
        <f aca="false">IF(L19="","",DATE(2001,L19+1,1)-DATE(2001,1,1))</f>
        <v>304</v>
      </c>
      <c r="U19" s="5" t="s">
        <v>52</v>
      </c>
      <c r="V19" s="6" t="s">
        <v>111</v>
      </c>
      <c r="W19" s="5" t="s">
        <v>139</v>
      </c>
      <c r="X19" s="6" t="s">
        <v>140</v>
      </c>
      <c r="Y19" s="7"/>
    </row>
    <row r="20" customFormat="false" ht="23.85" hidden="false" customHeight="false" outlineLevel="0" collapsed="false">
      <c r="A20" s="5" t="s">
        <v>141</v>
      </c>
      <c r="B20" s="5" t="s">
        <v>57</v>
      </c>
      <c r="C20" s="6" t="s">
        <v>142</v>
      </c>
      <c r="D20" s="5" t="s">
        <v>136</v>
      </c>
      <c r="E20" s="5" t="s">
        <v>137</v>
      </c>
      <c r="F20" s="6" t="s">
        <v>138</v>
      </c>
      <c r="G20" s="5" t="s">
        <v>48</v>
      </c>
      <c r="H20" s="5" t="s">
        <v>49</v>
      </c>
      <c r="I20" s="7" t="n">
        <v>4</v>
      </c>
      <c r="J20" s="7" t="n">
        <v>5</v>
      </c>
      <c r="K20" s="7" t="n">
        <v>8</v>
      </c>
      <c r="L20" s="7" t="n">
        <v>9</v>
      </c>
      <c r="M20" s="5" t="s">
        <v>88</v>
      </c>
      <c r="N20" s="5" t="s">
        <v>69</v>
      </c>
      <c r="O20" s="7" t="n">
        <v>130</v>
      </c>
      <c r="P20" s="7" t="n">
        <v>160</v>
      </c>
      <c r="Q20" s="5" t="n">
        <f aca="false">IF(I20="","",DATE(2001,I20,1)-DATE(2001,1,1)+1)</f>
        <v>91</v>
      </c>
      <c r="R20" s="5" t="n">
        <f aca="false">IF(J20="","",DATE(2001,J20+1,1)-DATE(2001,1,1))</f>
        <v>151</v>
      </c>
      <c r="S20" s="5" t="n">
        <f aca="false">IF(K20="","",DATE(2001,K20,1)-DATE(2001,1,1)+1)</f>
        <v>213</v>
      </c>
      <c r="T20" s="5" t="n">
        <f aca="false">IF(L20="","",DATE(2001,L20+1,1)-DATE(2001,1,1))</f>
        <v>273</v>
      </c>
      <c r="U20" s="5" t="s">
        <v>62</v>
      </c>
      <c r="V20" s="6" t="s">
        <v>143</v>
      </c>
      <c r="W20" s="5" t="s">
        <v>144</v>
      </c>
      <c r="X20" s="6" t="s">
        <v>145</v>
      </c>
      <c r="Y20" s="7"/>
    </row>
    <row r="21" customFormat="false" ht="15" hidden="false" customHeight="false" outlineLevel="0" collapsed="false">
      <c r="A21" s="5" t="s">
        <v>146</v>
      </c>
      <c r="B21" s="5" t="s">
        <v>74</v>
      </c>
      <c r="C21" s="6" t="s">
        <v>67</v>
      </c>
      <c r="D21" s="5" t="s">
        <v>136</v>
      </c>
      <c r="E21" s="5" t="s">
        <v>137</v>
      </c>
      <c r="F21" s="6" t="s">
        <v>138</v>
      </c>
      <c r="G21" s="5" t="s">
        <v>48</v>
      </c>
      <c r="H21" s="5" t="s">
        <v>49</v>
      </c>
      <c r="I21" s="7" t="n">
        <v>4</v>
      </c>
      <c r="J21" s="7" t="n">
        <v>5</v>
      </c>
      <c r="K21" s="7" t="n">
        <v>9</v>
      </c>
      <c r="L21" s="7" t="n">
        <v>10</v>
      </c>
      <c r="M21" s="5" t="s">
        <v>88</v>
      </c>
      <c r="N21" s="5" t="s">
        <v>89</v>
      </c>
      <c r="O21" s="7" t="n">
        <v>140</v>
      </c>
      <c r="P21" s="7" t="n">
        <v>170</v>
      </c>
      <c r="Q21" s="5" t="n">
        <f aca="false">IF(I21="","",DATE(2001,I21,1)-DATE(2001,1,1)+1)</f>
        <v>91</v>
      </c>
      <c r="R21" s="5" t="n">
        <f aca="false">IF(J21="","",DATE(2001,J21+1,1)-DATE(2001,1,1))</f>
        <v>151</v>
      </c>
      <c r="S21" s="5" t="n">
        <f aca="false">IF(K21="","",DATE(2001,K21,1)-DATE(2001,1,1)+1)</f>
        <v>244</v>
      </c>
      <c r="T21" s="5" t="n">
        <f aca="false">IF(L21="","",DATE(2001,L21+1,1)-DATE(2001,1,1))</f>
        <v>304</v>
      </c>
      <c r="U21" s="5" t="s">
        <v>62</v>
      </c>
      <c r="V21" s="6" t="s">
        <v>138</v>
      </c>
      <c r="W21" s="5" t="s">
        <v>147</v>
      </c>
      <c r="X21" s="6" t="s">
        <v>148</v>
      </c>
      <c r="Y21" s="7"/>
    </row>
    <row r="22" customFormat="false" ht="15" hidden="false" customHeight="false" outlineLevel="0" collapsed="false">
      <c r="A22" s="5" t="s">
        <v>149</v>
      </c>
      <c r="B22" s="5" t="s">
        <v>85</v>
      </c>
      <c r="C22" s="6" t="s">
        <v>86</v>
      </c>
      <c r="D22" s="5" t="s">
        <v>136</v>
      </c>
      <c r="E22" s="5" t="s">
        <v>137</v>
      </c>
      <c r="F22" s="6" t="s">
        <v>138</v>
      </c>
      <c r="G22" s="5" t="s">
        <v>48</v>
      </c>
      <c r="H22" s="5" t="s">
        <v>87</v>
      </c>
      <c r="I22" s="7" t="n">
        <v>5</v>
      </c>
      <c r="J22" s="7" t="n">
        <v>6</v>
      </c>
      <c r="K22" s="7" t="n">
        <v>9</v>
      </c>
      <c r="L22" s="7" t="n">
        <v>10</v>
      </c>
      <c r="M22" s="5" t="s">
        <v>101</v>
      </c>
      <c r="N22" s="5" t="s">
        <v>89</v>
      </c>
      <c r="O22" s="7" t="n">
        <v>90</v>
      </c>
      <c r="P22" s="7" t="n">
        <v>110</v>
      </c>
      <c r="Q22" s="5" t="n">
        <f aca="false">IF(I22="","",DATE(2001,I22,1)-DATE(2001,1,1)+1)</f>
        <v>121</v>
      </c>
      <c r="R22" s="5" t="n">
        <f aca="false">IF(J22="","",DATE(2001,J22+1,1)-DATE(2001,1,1))</f>
        <v>181</v>
      </c>
      <c r="S22" s="5" t="n">
        <f aca="false">IF(K22="","",DATE(2001,K22,1)-DATE(2001,1,1)+1)</f>
        <v>244</v>
      </c>
      <c r="T22" s="5" t="n">
        <f aca="false">IF(L22="","",DATE(2001,L22+1,1)-DATE(2001,1,1))</f>
        <v>304</v>
      </c>
      <c r="U22" s="5" t="s">
        <v>62</v>
      </c>
      <c r="V22" s="6" t="s">
        <v>138</v>
      </c>
      <c r="W22" s="5" t="s">
        <v>150</v>
      </c>
      <c r="X22" s="6" t="s">
        <v>151</v>
      </c>
      <c r="Y22" s="7"/>
    </row>
    <row r="23" customFormat="false" ht="15" hidden="false" customHeight="false" outlineLevel="0" collapsed="false">
      <c r="A23" s="5" t="s">
        <v>152</v>
      </c>
      <c r="B23" s="5" t="s">
        <v>104</v>
      </c>
      <c r="C23" s="6" t="s">
        <v>153</v>
      </c>
      <c r="D23" s="5" t="s">
        <v>136</v>
      </c>
      <c r="E23" s="5" t="s">
        <v>137</v>
      </c>
      <c r="F23" s="6" t="s">
        <v>138</v>
      </c>
      <c r="G23" s="5" t="s">
        <v>48</v>
      </c>
      <c r="H23" s="5" t="s">
        <v>49</v>
      </c>
      <c r="I23" s="7" t="n">
        <v>4</v>
      </c>
      <c r="J23" s="7" t="n">
        <v>5</v>
      </c>
      <c r="K23" s="7" t="n">
        <v>8</v>
      </c>
      <c r="L23" s="7" t="n">
        <v>9</v>
      </c>
      <c r="M23" s="5" t="s">
        <v>88</v>
      </c>
      <c r="N23" s="5" t="s">
        <v>69</v>
      </c>
      <c r="O23" s="7"/>
      <c r="P23" s="7"/>
      <c r="Q23" s="5" t="n">
        <f aca="false">IF(I23="","",DATE(2001,I23,1)-DATE(2001,1,1)+1)</f>
        <v>91</v>
      </c>
      <c r="R23" s="5" t="n">
        <f aca="false">IF(J23="","",DATE(2001,J23+1,1)-DATE(2001,1,1))</f>
        <v>151</v>
      </c>
      <c r="S23" s="5" t="n">
        <f aca="false">IF(K23="","",DATE(2001,K23,1)-DATE(2001,1,1)+1)</f>
        <v>213</v>
      </c>
      <c r="T23" s="5" t="n">
        <f aca="false">IF(L23="","",DATE(2001,L23+1,1)-DATE(2001,1,1))</f>
        <v>273</v>
      </c>
      <c r="U23" s="5" t="s">
        <v>62</v>
      </c>
      <c r="V23" s="6" t="s">
        <v>154</v>
      </c>
      <c r="W23" s="5" t="s">
        <v>155</v>
      </c>
      <c r="X23" s="6" t="s">
        <v>156</v>
      </c>
      <c r="Y23" s="7"/>
    </row>
    <row r="24" customFormat="false" ht="15" hidden="false" customHeight="false" outlineLevel="0" collapsed="false">
      <c r="A24" s="5" t="s">
        <v>157</v>
      </c>
      <c r="B24" s="5" t="s">
        <v>94</v>
      </c>
      <c r="C24" s="6"/>
      <c r="D24" s="5" t="s">
        <v>136</v>
      </c>
      <c r="E24" s="5" t="s">
        <v>137</v>
      </c>
      <c r="F24" s="6" t="s">
        <v>138</v>
      </c>
      <c r="G24" s="5" t="s">
        <v>131</v>
      </c>
      <c r="H24" s="5"/>
      <c r="I24" s="7"/>
      <c r="J24" s="7"/>
      <c r="K24" s="7"/>
      <c r="L24" s="7"/>
      <c r="M24" s="5"/>
      <c r="N24" s="5"/>
      <c r="O24" s="7"/>
      <c r="P24" s="7"/>
      <c r="Q24" s="5" t="str">
        <f aca="false">IF(I24="","",DATE(2001,I24,1)-DATE(2001,1,1)+1)</f>
        <v/>
      </c>
      <c r="R24" s="5" t="str">
        <f aca="false">IF(J24="","",DATE(2001,J24+1,1)-DATE(2001,1,1))</f>
        <v/>
      </c>
      <c r="S24" s="5" t="str">
        <f aca="false">IF(K24="","",DATE(2001,K24,1)-DATE(2001,1,1)+1)</f>
        <v/>
      </c>
      <c r="T24" s="5" t="str">
        <f aca="false">IF(L24="","",DATE(2001,L24+1,1)-DATE(2001,1,1))</f>
        <v/>
      </c>
      <c r="U24" s="5" t="s">
        <v>70</v>
      </c>
      <c r="V24" s="6" t="s">
        <v>71</v>
      </c>
      <c r="W24" s="5"/>
      <c r="X24" s="6" t="s">
        <v>158</v>
      </c>
      <c r="Y24" s="7"/>
    </row>
    <row r="25" customFormat="false" ht="15" hidden="false" customHeight="false" outlineLevel="0" collapsed="false">
      <c r="A25" s="5" t="s">
        <v>159</v>
      </c>
      <c r="B25" s="5" t="s">
        <v>99</v>
      </c>
      <c r="C25" s="6"/>
      <c r="D25" s="5" t="s">
        <v>136</v>
      </c>
      <c r="E25" s="5" t="s">
        <v>137</v>
      </c>
      <c r="F25" s="6" t="s">
        <v>138</v>
      </c>
      <c r="G25" s="5" t="s">
        <v>131</v>
      </c>
      <c r="H25" s="5"/>
      <c r="I25" s="7"/>
      <c r="J25" s="7"/>
      <c r="K25" s="7"/>
      <c r="L25" s="7"/>
      <c r="M25" s="5"/>
      <c r="N25" s="5"/>
      <c r="O25" s="7"/>
      <c r="P25" s="7"/>
      <c r="Q25" s="5" t="str">
        <f aca="false">IF(I25="","",DATE(2001,I25,1)-DATE(2001,1,1)+1)</f>
        <v/>
      </c>
      <c r="R25" s="5" t="str">
        <f aca="false">IF(J25="","",DATE(2001,J25+1,1)-DATE(2001,1,1))</f>
        <v/>
      </c>
      <c r="S25" s="5" t="str">
        <f aca="false">IF(K25="","",DATE(2001,K25,1)-DATE(2001,1,1)+1)</f>
        <v/>
      </c>
      <c r="T25" s="5" t="str">
        <f aca="false">IF(L25="","",DATE(2001,L25+1,1)-DATE(2001,1,1))</f>
        <v/>
      </c>
      <c r="U25" s="5" t="s">
        <v>70</v>
      </c>
      <c r="V25" s="6" t="s">
        <v>71</v>
      </c>
      <c r="W25" s="5"/>
      <c r="X25" s="6" t="s">
        <v>158</v>
      </c>
      <c r="Y25" s="7"/>
    </row>
    <row r="26" customFormat="false" ht="15" hidden="false" customHeight="false" outlineLevel="0" collapsed="false">
      <c r="A26" s="5" t="s">
        <v>160</v>
      </c>
      <c r="B26" s="5" t="s">
        <v>85</v>
      </c>
      <c r="C26" s="6"/>
      <c r="D26" s="5" t="s">
        <v>161</v>
      </c>
      <c r="E26" s="5" t="s">
        <v>162</v>
      </c>
      <c r="F26" s="6" t="s">
        <v>163</v>
      </c>
      <c r="G26" s="5" t="s">
        <v>164</v>
      </c>
      <c r="H26" s="5" t="s">
        <v>87</v>
      </c>
      <c r="I26" s="7" t="n">
        <v>4</v>
      </c>
      <c r="J26" s="7" t="n">
        <v>6</v>
      </c>
      <c r="K26" s="7" t="n">
        <v>9</v>
      </c>
      <c r="L26" s="7" t="n">
        <v>11</v>
      </c>
      <c r="M26" s="5" t="s">
        <v>88</v>
      </c>
      <c r="N26" s="5" t="s">
        <v>89</v>
      </c>
      <c r="O26" s="7"/>
      <c r="P26" s="7"/>
      <c r="Q26" s="5" t="n">
        <f aca="false">IF(I26="","",DATE(2001,I26,1)-DATE(2001,1,1)+1)</f>
        <v>91</v>
      </c>
      <c r="R26" s="5" t="n">
        <f aca="false">IF(J26="","",DATE(2001,J26+1,1)-DATE(2001,1,1))</f>
        <v>181</v>
      </c>
      <c r="S26" s="5" t="n">
        <f aca="false">IF(K26="","",DATE(2001,K26,1)-DATE(2001,1,1)+1)</f>
        <v>244</v>
      </c>
      <c r="T26" s="5" t="n">
        <f aca="false">IF(L26="","",DATE(2001,L26+1,1)-DATE(2001,1,1))</f>
        <v>334</v>
      </c>
      <c r="U26" s="5" t="s">
        <v>52</v>
      </c>
      <c r="V26" s="6" t="s">
        <v>165</v>
      </c>
      <c r="W26" s="5" t="s">
        <v>166</v>
      </c>
      <c r="X26" s="6" t="s">
        <v>167</v>
      </c>
      <c r="Y26" s="7"/>
    </row>
    <row r="27" customFormat="false" ht="15" hidden="false" customHeight="false" outlineLevel="0" collapsed="false">
      <c r="A27" s="5" t="s">
        <v>168</v>
      </c>
      <c r="B27" s="5" t="s">
        <v>99</v>
      </c>
      <c r="C27" s="6" t="s">
        <v>169</v>
      </c>
      <c r="D27" s="5" t="s">
        <v>161</v>
      </c>
      <c r="E27" s="5" t="s">
        <v>162</v>
      </c>
      <c r="F27" s="6" t="s">
        <v>163</v>
      </c>
      <c r="G27" s="5" t="s">
        <v>164</v>
      </c>
      <c r="H27" s="5" t="s">
        <v>87</v>
      </c>
      <c r="I27" s="7" t="n">
        <v>4</v>
      </c>
      <c r="J27" s="7" t="n">
        <v>6</v>
      </c>
      <c r="K27" s="7" t="n">
        <v>9</v>
      </c>
      <c r="L27" s="7" t="n">
        <v>11</v>
      </c>
      <c r="M27" s="5" t="s">
        <v>88</v>
      </c>
      <c r="N27" s="5" t="s">
        <v>89</v>
      </c>
      <c r="O27" s="7"/>
      <c r="P27" s="7"/>
      <c r="Q27" s="5" t="n">
        <f aca="false">IF(I27="","",DATE(2001,I27,1)-DATE(2001,1,1)+1)</f>
        <v>91</v>
      </c>
      <c r="R27" s="5" t="n">
        <f aca="false">IF(J27="","",DATE(2001,J27+1,1)-DATE(2001,1,1))</f>
        <v>181</v>
      </c>
      <c r="S27" s="5" t="n">
        <f aca="false">IF(K27="","",DATE(2001,K27,1)-DATE(2001,1,1)+1)</f>
        <v>244</v>
      </c>
      <c r="T27" s="5" t="n">
        <f aca="false">IF(L27="","",DATE(2001,L27+1,1)-DATE(2001,1,1))</f>
        <v>334</v>
      </c>
      <c r="U27" s="5" t="s">
        <v>52</v>
      </c>
      <c r="V27" s="6" t="s">
        <v>165</v>
      </c>
      <c r="W27" s="5" t="s">
        <v>82</v>
      </c>
      <c r="X27" s="6" t="s">
        <v>170</v>
      </c>
      <c r="Y27" s="7"/>
    </row>
    <row r="28" customFormat="false" ht="15" hidden="false" customHeight="false" outlineLevel="0" collapsed="false">
      <c r="A28" s="5" t="s">
        <v>171</v>
      </c>
      <c r="B28" s="5" t="s">
        <v>104</v>
      </c>
      <c r="C28" s="6" t="s">
        <v>105</v>
      </c>
      <c r="D28" s="5" t="s">
        <v>161</v>
      </c>
      <c r="E28" s="5" t="s">
        <v>162</v>
      </c>
      <c r="F28" s="6" t="s">
        <v>163</v>
      </c>
      <c r="G28" s="5" t="s">
        <v>164</v>
      </c>
      <c r="H28" s="5" t="s">
        <v>87</v>
      </c>
      <c r="I28" s="7" t="n">
        <v>4</v>
      </c>
      <c r="J28" s="7" t="n">
        <v>6</v>
      </c>
      <c r="K28" s="7" t="n">
        <v>9</v>
      </c>
      <c r="L28" s="7" t="n">
        <v>11</v>
      </c>
      <c r="M28" s="5" t="s">
        <v>88</v>
      </c>
      <c r="N28" s="5" t="s">
        <v>89</v>
      </c>
      <c r="O28" s="7"/>
      <c r="P28" s="7"/>
      <c r="Q28" s="5" t="n">
        <f aca="false">IF(I28="","",DATE(2001,I28,1)-DATE(2001,1,1)+1)</f>
        <v>91</v>
      </c>
      <c r="R28" s="5" t="n">
        <f aca="false">IF(J28="","",DATE(2001,J28+1,1)-DATE(2001,1,1))</f>
        <v>181</v>
      </c>
      <c r="S28" s="5" t="n">
        <f aca="false">IF(K28="","",DATE(2001,K28,1)-DATE(2001,1,1)+1)</f>
        <v>244</v>
      </c>
      <c r="T28" s="5" t="n">
        <f aca="false">IF(L28="","",DATE(2001,L28+1,1)-DATE(2001,1,1))</f>
        <v>334</v>
      </c>
      <c r="U28" s="5" t="s">
        <v>52</v>
      </c>
      <c r="V28" s="6" t="s">
        <v>165</v>
      </c>
      <c r="W28" s="5" t="s">
        <v>82</v>
      </c>
      <c r="X28" s="6" t="s">
        <v>172</v>
      </c>
      <c r="Y28" s="7"/>
    </row>
    <row r="29" customFormat="false" ht="15" hidden="false" customHeight="false" outlineLevel="0" collapsed="false">
      <c r="A29" s="5" t="s">
        <v>173</v>
      </c>
      <c r="B29" s="5" t="s">
        <v>44</v>
      </c>
      <c r="C29" s="6"/>
      <c r="D29" s="5" t="s">
        <v>161</v>
      </c>
      <c r="E29" s="5" t="s">
        <v>162</v>
      </c>
      <c r="F29" s="6" t="s">
        <v>163</v>
      </c>
      <c r="G29" s="5" t="s">
        <v>164</v>
      </c>
      <c r="H29" s="5" t="s">
        <v>49</v>
      </c>
      <c r="I29" s="7" t="n">
        <v>3</v>
      </c>
      <c r="J29" s="7" t="n">
        <v>5</v>
      </c>
      <c r="K29" s="7" t="n">
        <v>7</v>
      </c>
      <c r="L29" s="7" t="n">
        <v>9</v>
      </c>
      <c r="M29" s="5" t="s">
        <v>50</v>
      </c>
      <c r="N29" s="5" t="s">
        <v>51</v>
      </c>
      <c r="O29" s="7"/>
      <c r="P29" s="7"/>
      <c r="Q29" s="5" t="n">
        <f aca="false">IF(I29="","",DATE(2001,I29,1)-DATE(2001,1,1)+1)</f>
        <v>60</v>
      </c>
      <c r="R29" s="5" t="n">
        <f aca="false">IF(J29="","",DATE(2001,J29+1,1)-DATE(2001,1,1))</f>
        <v>151</v>
      </c>
      <c r="S29" s="5" t="n">
        <f aca="false">IF(K29="","",DATE(2001,K29,1)-DATE(2001,1,1)+1)</f>
        <v>182</v>
      </c>
      <c r="T29" s="5" t="n">
        <f aca="false">IF(L29="","",DATE(2001,L29+1,1)-DATE(2001,1,1))</f>
        <v>273</v>
      </c>
      <c r="U29" s="5" t="s">
        <v>62</v>
      </c>
      <c r="V29" s="6" t="s">
        <v>174</v>
      </c>
      <c r="W29" s="5" t="s">
        <v>175</v>
      </c>
      <c r="X29" s="6" t="s">
        <v>176</v>
      </c>
      <c r="Y29" s="7"/>
    </row>
    <row r="30" customFormat="false" ht="15" hidden="false" customHeight="false" outlineLevel="0" collapsed="false">
      <c r="A30" s="5" t="s">
        <v>177</v>
      </c>
      <c r="B30" s="5" t="s">
        <v>57</v>
      </c>
      <c r="C30" s="6" t="s">
        <v>142</v>
      </c>
      <c r="D30" s="5" t="s">
        <v>161</v>
      </c>
      <c r="E30" s="5" t="s">
        <v>162</v>
      </c>
      <c r="F30" s="6" t="s">
        <v>163</v>
      </c>
      <c r="G30" s="5" t="s">
        <v>164</v>
      </c>
      <c r="H30" s="5" t="s">
        <v>59</v>
      </c>
      <c r="I30" s="7"/>
      <c r="J30" s="7"/>
      <c r="K30" s="7"/>
      <c r="L30" s="7"/>
      <c r="M30" s="5"/>
      <c r="N30" s="5"/>
      <c r="O30" s="7" t="n">
        <v>210</v>
      </c>
      <c r="P30" s="7"/>
      <c r="Q30" s="5" t="str">
        <f aca="false">IF(I30="","",DATE(2001,I30,1)-DATE(2001,1,1)+1)</f>
        <v/>
      </c>
      <c r="R30" s="5" t="str">
        <f aca="false">IF(J30="","",DATE(2001,J30+1,1)-DATE(2001,1,1))</f>
        <v/>
      </c>
      <c r="S30" s="5" t="str">
        <f aca="false">IF(K30="","",DATE(2001,K30,1)-DATE(2001,1,1)+1)</f>
        <v/>
      </c>
      <c r="T30" s="5" t="str">
        <f aca="false">IF(L30="","",DATE(2001,L30+1,1)-DATE(2001,1,1))</f>
        <v/>
      </c>
      <c r="U30" s="5" t="s">
        <v>52</v>
      </c>
      <c r="V30" s="6" t="s">
        <v>165</v>
      </c>
      <c r="W30" s="5" t="s">
        <v>82</v>
      </c>
      <c r="X30" s="6" t="s">
        <v>178</v>
      </c>
      <c r="Y30" s="7"/>
    </row>
    <row r="31" customFormat="false" ht="15" hidden="false" customHeight="false" outlineLevel="0" collapsed="false">
      <c r="A31" s="5" t="s">
        <v>179</v>
      </c>
      <c r="B31" s="5" t="s">
        <v>74</v>
      </c>
      <c r="C31" s="6"/>
      <c r="D31" s="5" t="s">
        <v>161</v>
      </c>
      <c r="E31" s="5" t="s">
        <v>162</v>
      </c>
      <c r="F31" s="6" t="s">
        <v>163</v>
      </c>
      <c r="G31" s="5" t="s">
        <v>164</v>
      </c>
      <c r="H31" s="5" t="s">
        <v>59</v>
      </c>
      <c r="I31" s="7"/>
      <c r="J31" s="7"/>
      <c r="K31" s="7"/>
      <c r="L31" s="7"/>
      <c r="M31" s="5"/>
      <c r="N31" s="5"/>
      <c r="O31" s="7" t="n">
        <v>210</v>
      </c>
      <c r="P31" s="7"/>
      <c r="Q31" s="5" t="str">
        <f aca="false">IF(I31="","",DATE(2001,I31,1)-DATE(2001,1,1)+1)</f>
        <v/>
      </c>
      <c r="R31" s="5" t="str">
        <f aca="false">IF(J31="","",DATE(2001,J31+1,1)-DATE(2001,1,1))</f>
        <v/>
      </c>
      <c r="S31" s="5" t="str">
        <f aca="false">IF(K31="","",DATE(2001,K31,1)-DATE(2001,1,1)+1)</f>
        <v/>
      </c>
      <c r="T31" s="5" t="str">
        <f aca="false">IF(L31="","",DATE(2001,L31+1,1)-DATE(2001,1,1))</f>
        <v/>
      </c>
      <c r="U31" s="5" t="s">
        <v>52</v>
      </c>
      <c r="V31" s="6" t="s">
        <v>165</v>
      </c>
      <c r="W31" s="5" t="s">
        <v>82</v>
      </c>
      <c r="X31" s="6" t="s">
        <v>178</v>
      </c>
      <c r="Y31" s="7"/>
    </row>
    <row r="32" customFormat="false" ht="15" hidden="false" customHeight="false" outlineLevel="0" collapsed="false">
      <c r="A32" s="5" t="s">
        <v>180</v>
      </c>
      <c r="B32" s="5" t="s">
        <v>44</v>
      </c>
      <c r="C32" s="6"/>
      <c r="D32" s="5" t="s">
        <v>181</v>
      </c>
      <c r="E32" s="5" t="s">
        <v>182</v>
      </c>
      <c r="F32" s="6" t="s">
        <v>183</v>
      </c>
      <c r="G32" s="5" t="s">
        <v>184</v>
      </c>
      <c r="H32" s="5" t="s">
        <v>87</v>
      </c>
      <c r="I32" s="7" t="n">
        <v>2</v>
      </c>
      <c r="J32" s="7" t="n">
        <v>3</v>
      </c>
      <c r="K32" s="7" t="n">
        <v>7</v>
      </c>
      <c r="L32" s="7" t="n">
        <v>8</v>
      </c>
      <c r="M32" s="5" t="s">
        <v>185</v>
      </c>
      <c r="N32" s="5" t="s">
        <v>51</v>
      </c>
      <c r="O32" s="7"/>
      <c r="P32" s="7"/>
      <c r="Q32" s="5" t="n">
        <f aca="false">IF(I32="","",DATE(2001,I32,1)-DATE(2001,1,1)+1)</f>
        <v>32</v>
      </c>
      <c r="R32" s="5" t="n">
        <f aca="false">IF(J32="","",DATE(2001,J32+1,1)-DATE(2001,1,1))</f>
        <v>90</v>
      </c>
      <c r="S32" s="5" t="n">
        <f aca="false">IF(K32="","",DATE(2001,K32,1)-DATE(2001,1,1)+1)</f>
        <v>182</v>
      </c>
      <c r="T32" s="5" t="n">
        <f aca="false">IF(L32="","",DATE(2001,L32+1,1)-DATE(2001,1,1))</f>
        <v>243</v>
      </c>
      <c r="U32" s="5" t="s">
        <v>52</v>
      </c>
      <c r="V32" s="6" t="s">
        <v>186</v>
      </c>
      <c r="W32" s="5" t="s">
        <v>112</v>
      </c>
      <c r="X32" s="6" t="s">
        <v>187</v>
      </c>
      <c r="Y32" s="7"/>
    </row>
    <row r="33" customFormat="false" ht="15" hidden="false" customHeight="false" outlineLevel="0" collapsed="false">
      <c r="A33" s="5" t="s">
        <v>188</v>
      </c>
      <c r="B33" s="5" t="s">
        <v>44</v>
      </c>
      <c r="C33" s="6"/>
      <c r="D33" s="5" t="s">
        <v>189</v>
      </c>
      <c r="E33" s="5" t="s">
        <v>190</v>
      </c>
      <c r="F33" s="6" t="s">
        <v>183</v>
      </c>
      <c r="G33" s="5" t="s">
        <v>184</v>
      </c>
      <c r="H33" s="5" t="s">
        <v>87</v>
      </c>
      <c r="I33" s="7" t="n">
        <v>3</v>
      </c>
      <c r="J33" s="7" t="n">
        <v>4</v>
      </c>
      <c r="K33" s="7" t="n">
        <v>7</v>
      </c>
      <c r="L33" s="7" t="n">
        <v>9</v>
      </c>
      <c r="M33" s="5" t="s">
        <v>50</v>
      </c>
      <c r="N33" s="5" t="s">
        <v>51</v>
      </c>
      <c r="O33" s="7"/>
      <c r="P33" s="7"/>
      <c r="Q33" s="5" t="n">
        <f aca="false">IF(I33="","",DATE(2001,I33,1)-DATE(2001,1,1)+1)</f>
        <v>60</v>
      </c>
      <c r="R33" s="5" t="n">
        <f aca="false">IF(J33="","",DATE(2001,J33+1,1)-DATE(2001,1,1))</f>
        <v>120</v>
      </c>
      <c r="S33" s="5" t="n">
        <f aca="false">IF(K33="","",DATE(2001,K33,1)-DATE(2001,1,1)+1)</f>
        <v>182</v>
      </c>
      <c r="T33" s="5" t="n">
        <f aca="false">IF(L33="","",DATE(2001,L33+1,1)-DATE(2001,1,1))</f>
        <v>273</v>
      </c>
      <c r="U33" s="5" t="s">
        <v>52</v>
      </c>
      <c r="V33" s="6" t="s">
        <v>186</v>
      </c>
      <c r="W33" s="5" t="s">
        <v>112</v>
      </c>
      <c r="X33" s="6" t="s">
        <v>191</v>
      </c>
      <c r="Y33" s="7"/>
    </row>
    <row r="34" customFormat="false" ht="15" hidden="false" customHeight="false" outlineLevel="0" collapsed="false">
      <c r="A34" s="5" t="s">
        <v>192</v>
      </c>
      <c r="B34" s="5" t="s">
        <v>44</v>
      </c>
      <c r="C34" s="6"/>
      <c r="D34" s="5" t="s">
        <v>193</v>
      </c>
      <c r="E34" s="5" t="s">
        <v>194</v>
      </c>
      <c r="F34" s="6" t="s">
        <v>183</v>
      </c>
      <c r="G34" s="5" t="s">
        <v>184</v>
      </c>
      <c r="H34" s="5" t="s">
        <v>87</v>
      </c>
      <c r="I34" s="7" t="n">
        <v>4</v>
      </c>
      <c r="J34" s="7" t="n">
        <v>5</v>
      </c>
      <c r="K34" s="7" t="n">
        <v>9</v>
      </c>
      <c r="L34" s="7" t="n">
        <v>10</v>
      </c>
      <c r="M34" s="5" t="s">
        <v>88</v>
      </c>
      <c r="N34" s="5" t="s">
        <v>89</v>
      </c>
      <c r="O34" s="7"/>
      <c r="P34" s="7"/>
      <c r="Q34" s="5" t="n">
        <f aca="false">IF(I34="","",DATE(2001,I34,1)-DATE(2001,1,1)+1)</f>
        <v>91</v>
      </c>
      <c r="R34" s="5" t="n">
        <f aca="false">IF(J34="","",DATE(2001,J34+1,1)-DATE(2001,1,1))</f>
        <v>151</v>
      </c>
      <c r="S34" s="5" t="n">
        <f aca="false">IF(K34="","",DATE(2001,K34,1)-DATE(2001,1,1)+1)</f>
        <v>244</v>
      </c>
      <c r="T34" s="5" t="n">
        <f aca="false">IF(L34="","",DATE(2001,L34+1,1)-DATE(2001,1,1))</f>
        <v>304</v>
      </c>
      <c r="U34" s="5" t="s">
        <v>52</v>
      </c>
      <c r="V34" s="6" t="s">
        <v>186</v>
      </c>
      <c r="W34" s="5" t="s">
        <v>112</v>
      </c>
      <c r="X34" s="6" t="s">
        <v>195</v>
      </c>
      <c r="Y34" s="7"/>
    </row>
  </sheetData>
  <autoFilter ref="A1:Y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4" t="s">
        <v>196</v>
      </c>
      <c r="B1" s="4" t="s">
        <v>197</v>
      </c>
      <c r="C1" s="4" t="s">
        <v>21</v>
      </c>
      <c r="D1" s="4" t="s">
        <v>198</v>
      </c>
      <c r="E1" s="4" t="s">
        <v>199</v>
      </c>
    </row>
    <row r="2" customFormat="false" ht="15" hidden="false" customHeight="false" outlineLevel="0" collapsed="false">
      <c r="A2" s="8" t="s">
        <v>200</v>
      </c>
      <c r="B2" s="8" t="s">
        <v>201</v>
      </c>
      <c r="C2" s="8" t="s">
        <v>45</v>
      </c>
      <c r="D2" s="9" t="n">
        <v>2720</v>
      </c>
      <c r="E2" s="8" t="s">
        <v>202</v>
      </c>
    </row>
    <row r="3" customFormat="false" ht="15" hidden="false" customHeight="false" outlineLevel="0" collapsed="false">
      <c r="A3" s="8" t="s">
        <v>203</v>
      </c>
      <c r="B3" s="8" t="s">
        <v>201</v>
      </c>
      <c r="C3" s="8" t="s">
        <v>45</v>
      </c>
      <c r="D3" s="9" t="n">
        <v>2670</v>
      </c>
      <c r="E3" s="8" t="s">
        <v>202</v>
      </c>
    </row>
    <row r="4" customFormat="false" ht="15" hidden="false" customHeight="false" outlineLevel="0" collapsed="false">
      <c r="A4" s="8" t="s">
        <v>204</v>
      </c>
      <c r="B4" s="8" t="s">
        <v>201</v>
      </c>
      <c r="C4" s="8" t="s">
        <v>45</v>
      </c>
      <c r="D4" s="9" t="n">
        <v>2810</v>
      </c>
      <c r="E4" s="8" t="s">
        <v>202</v>
      </c>
    </row>
    <row r="5" customFormat="false" ht="15" hidden="false" customHeight="false" outlineLevel="0" collapsed="false">
      <c r="A5" s="8" t="s">
        <v>205</v>
      </c>
      <c r="B5" s="8" t="s">
        <v>119</v>
      </c>
      <c r="C5" s="8" t="s">
        <v>45</v>
      </c>
      <c r="D5" s="9" t="n">
        <v>2670</v>
      </c>
      <c r="E5" s="8" t="s">
        <v>202</v>
      </c>
    </row>
    <row r="6" customFormat="false" ht="15" hidden="false" customHeight="false" outlineLevel="0" collapsed="false">
      <c r="A6" s="8" t="s">
        <v>206</v>
      </c>
      <c r="B6" s="8" t="s">
        <v>119</v>
      </c>
      <c r="C6" s="8" t="s">
        <v>108</v>
      </c>
      <c r="D6" s="9" t="n">
        <v>3190</v>
      </c>
      <c r="E6" s="8" t="s">
        <v>202</v>
      </c>
    </row>
    <row r="7" customFormat="false" ht="15" hidden="false" customHeight="false" outlineLevel="0" collapsed="false">
      <c r="A7" s="8" t="s">
        <v>207</v>
      </c>
      <c r="B7" s="8" t="s">
        <v>119</v>
      </c>
      <c r="C7" s="8" t="s">
        <v>108</v>
      </c>
      <c r="D7" s="9" t="n">
        <v>3470</v>
      </c>
      <c r="E7" s="8" t="s">
        <v>202</v>
      </c>
    </row>
    <row r="8" customFormat="false" ht="15" hidden="false" customHeight="false" outlineLevel="0" collapsed="false">
      <c r="A8" s="8" t="s">
        <v>208</v>
      </c>
      <c r="B8" s="8" t="s">
        <v>119</v>
      </c>
      <c r="C8" s="8" t="s">
        <v>108</v>
      </c>
      <c r="D8" s="9" t="n">
        <v>3540</v>
      </c>
      <c r="E8" s="8" t="s">
        <v>202</v>
      </c>
    </row>
    <row r="9" customFormat="false" ht="15" hidden="false" customHeight="false" outlineLevel="0" collapsed="false">
      <c r="A9" s="8" t="s">
        <v>209</v>
      </c>
      <c r="B9" s="8" t="s">
        <v>201</v>
      </c>
      <c r="C9" s="8" t="s">
        <v>108</v>
      </c>
      <c r="D9" s="9" t="n">
        <v>3560</v>
      </c>
      <c r="E9" s="8" t="s">
        <v>202</v>
      </c>
    </row>
    <row r="10" customFormat="false" ht="15" hidden="false" customHeight="false" outlineLevel="0" collapsed="false">
      <c r="A10" s="8" t="s">
        <v>138</v>
      </c>
      <c r="B10" s="8" t="s">
        <v>201</v>
      </c>
      <c r="C10" s="8" t="s">
        <v>136</v>
      </c>
      <c r="D10" s="9" t="n">
        <v>3840</v>
      </c>
      <c r="E10" s="8" t="s">
        <v>202</v>
      </c>
    </row>
    <row r="13" customFormat="false" ht="15" hidden="false" customHeight="false" outlineLevel="0" collapsed="false">
      <c r="A13" s="10" t="s">
        <v>210</v>
      </c>
    </row>
    <row r="14" customFormat="false" ht="23.85" hidden="false" customHeight="false" outlineLevel="0" collapsed="false">
      <c r="A14" s="4" t="s">
        <v>21</v>
      </c>
      <c r="B14" s="4" t="s">
        <v>211</v>
      </c>
      <c r="C14" s="4" t="s">
        <v>22</v>
      </c>
      <c r="D14" s="4" t="s">
        <v>212</v>
      </c>
    </row>
    <row r="15" customFormat="false" ht="15" hidden="false" customHeight="false" outlineLevel="0" collapsed="false">
      <c r="A15" s="8" t="s">
        <v>45</v>
      </c>
      <c r="B15" s="8" t="s">
        <v>213</v>
      </c>
      <c r="C15" s="8" t="s">
        <v>46</v>
      </c>
      <c r="D15" s="8" t="s">
        <v>47</v>
      </c>
    </row>
    <row r="16" customFormat="false" ht="15" hidden="false" customHeight="false" outlineLevel="0" collapsed="false">
      <c r="A16" s="8" t="s">
        <v>108</v>
      </c>
      <c r="B16" s="8" t="s">
        <v>214</v>
      </c>
      <c r="C16" s="8" t="s">
        <v>109</v>
      </c>
      <c r="D16" s="8" t="s">
        <v>110</v>
      </c>
    </row>
    <row r="17" customFormat="false" ht="15" hidden="false" customHeight="false" outlineLevel="0" collapsed="false">
      <c r="A17" s="8" t="s">
        <v>136</v>
      </c>
      <c r="B17" s="8" t="s">
        <v>215</v>
      </c>
      <c r="C17" s="8" t="s">
        <v>137</v>
      </c>
      <c r="D17" s="8" t="s">
        <v>138</v>
      </c>
    </row>
    <row r="18" customFormat="false" ht="15" hidden="false" customHeight="false" outlineLevel="0" collapsed="false">
      <c r="A18" s="8" t="s">
        <v>161</v>
      </c>
      <c r="B18" s="8" t="s">
        <v>216</v>
      </c>
      <c r="C18" s="8" t="s">
        <v>162</v>
      </c>
      <c r="D18" s="8" t="s">
        <v>163</v>
      </c>
    </row>
    <row r="19" customFormat="false" ht="15" hidden="false" customHeight="false" outlineLevel="0" collapsed="false">
      <c r="A19" s="8" t="s">
        <v>181</v>
      </c>
      <c r="B19" s="8" t="s">
        <v>217</v>
      </c>
      <c r="C19" s="8" t="s">
        <v>182</v>
      </c>
      <c r="D19" s="8" t="s">
        <v>183</v>
      </c>
    </row>
    <row r="20" customFormat="false" ht="15" hidden="false" customHeight="false" outlineLevel="0" collapsed="false">
      <c r="A20" s="8" t="s">
        <v>189</v>
      </c>
      <c r="B20" s="8" t="s">
        <v>217</v>
      </c>
      <c r="C20" s="8" t="s">
        <v>190</v>
      </c>
      <c r="D20" s="8" t="s">
        <v>183</v>
      </c>
    </row>
    <row r="21" customFormat="false" ht="15" hidden="false" customHeight="false" outlineLevel="0" collapsed="false">
      <c r="A21" s="8" t="s">
        <v>193</v>
      </c>
      <c r="B21" s="8" t="s">
        <v>218</v>
      </c>
      <c r="C21" s="8" t="s">
        <v>194</v>
      </c>
      <c r="D21" s="8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4" t="s">
        <v>219</v>
      </c>
      <c r="B1" s="4" t="s">
        <v>220</v>
      </c>
      <c r="C1" s="4" t="s">
        <v>40</v>
      </c>
    </row>
    <row r="2" customFormat="false" ht="15" hidden="false" customHeight="false" outlineLevel="0" collapsed="false">
      <c r="A2" s="6" t="s">
        <v>221</v>
      </c>
      <c r="B2" s="6" t="s">
        <v>222</v>
      </c>
      <c r="C2" s="6" t="s">
        <v>96</v>
      </c>
    </row>
    <row r="3" customFormat="false" ht="23.85" hidden="false" customHeight="false" outlineLevel="0" collapsed="false">
      <c r="A3" s="6" t="s">
        <v>45</v>
      </c>
      <c r="B3" s="6" t="s">
        <v>223</v>
      </c>
      <c r="C3" s="6" t="s">
        <v>96</v>
      </c>
    </row>
    <row r="4" customFormat="false" ht="15" hidden="false" customHeight="false" outlineLevel="0" collapsed="false">
      <c r="A4" s="6" t="s">
        <v>224</v>
      </c>
      <c r="B4" s="6" t="s">
        <v>225</v>
      </c>
      <c r="C4" s="6" t="s">
        <v>64</v>
      </c>
    </row>
    <row r="5" customFormat="false" ht="23.85" hidden="false" customHeight="false" outlineLevel="0" collapsed="false">
      <c r="A5" s="6" t="s">
        <v>226</v>
      </c>
      <c r="B5" s="6" t="s">
        <v>227</v>
      </c>
      <c r="C5" s="6" t="s">
        <v>228</v>
      </c>
    </row>
    <row r="6" customFormat="false" ht="23.85" hidden="false" customHeight="false" outlineLevel="0" collapsed="false">
      <c r="A6" s="6" t="s">
        <v>229</v>
      </c>
      <c r="B6" s="6" t="s">
        <v>230</v>
      </c>
      <c r="C6" s="6" t="s">
        <v>120</v>
      </c>
    </row>
    <row r="7" customFormat="false" ht="23.85" hidden="false" customHeight="false" outlineLevel="0" collapsed="false">
      <c r="A7" s="6" t="s">
        <v>231</v>
      </c>
      <c r="B7" s="6" t="s">
        <v>232</v>
      </c>
      <c r="C7" s="6" t="s">
        <v>233</v>
      </c>
    </row>
    <row r="8" customFormat="false" ht="23.85" hidden="false" customHeight="false" outlineLevel="0" collapsed="false">
      <c r="A8" s="6" t="s">
        <v>234</v>
      </c>
      <c r="B8" s="6" t="s">
        <v>235</v>
      </c>
      <c r="C8" s="6" t="s">
        <v>236</v>
      </c>
    </row>
    <row r="9" customFormat="false" ht="15" hidden="false" customHeight="false" outlineLevel="0" collapsed="false">
      <c r="A9" s="6" t="s">
        <v>237</v>
      </c>
      <c r="B9" s="6" t="s">
        <v>238</v>
      </c>
      <c r="C9" s="6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4" t="s">
        <v>40</v>
      </c>
      <c r="B1" s="4" t="s">
        <v>240</v>
      </c>
      <c r="C1" s="4" t="s">
        <v>241</v>
      </c>
      <c r="D1" s="4" t="s">
        <v>242</v>
      </c>
      <c r="E1" s="4" t="s">
        <v>243</v>
      </c>
    </row>
    <row r="2" customFormat="false" ht="23.85" hidden="false" customHeight="false" outlineLevel="0" collapsed="false">
      <c r="A2" s="6" t="s">
        <v>82</v>
      </c>
      <c r="B2" s="6" t="s">
        <v>244</v>
      </c>
      <c r="C2" s="6" t="s">
        <v>245</v>
      </c>
      <c r="D2" s="6" t="s">
        <v>246</v>
      </c>
      <c r="E2" s="6" t="s">
        <v>247</v>
      </c>
    </row>
    <row r="3" customFormat="false" ht="23.85" hidden="false" customHeight="false" outlineLevel="0" collapsed="false">
      <c r="A3" s="6" t="s">
        <v>248</v>
      </c>
      <c r="B3" s="6" t="s">
        <v>249</v>
      </c>
      <c r="C3" s="6" t="s">
        <v>250</v>
      </c>
      <c r="D3" s="6" t="s">
        <v>246</v>
      </c>
      <c r="E3" s="6" t="s">
        <v>251</v>
      </c>
    </row>
    <row r="4" customFormat="false" ht="15" hidden="false" customHeight="false" outlineLevel="0" collapsed="false">
      <c r="A4" s="6" t="s">
        <v>252</v>
      </c>
      <c r="B4" s="6" t="s">
        <v>253</v>
      </c>
      <c r="C4" s="6" t="s">
        <v>254</v>
      </c>
      <c r="D4" s="6" t="s">
        <v>255</v>
      </c>
      <c r="E4" s="6" t="s">
        <v>256</v>
      </c>
    </row>
    <row r="5" customFormat="false" ht="15" hidden="false" customHeight="false" outlineLevel="0" collapsed="false">
      <c r="A5" s="6" t="s">
        <v>257</v>
      </c>
      <c r="B5" s="6" t="s">
        <v>258</v>
      </c>
      <c r="C5" s="6" t="s">
        <v>259</v>
      </c>
      <c r="D5" s="6" t="s">
        <v>260</v>
      </c>
      <c r="E5" s="6" t="s">
        <v>261</v>
      </c>
    </row>
    <row r="6" customFormat="false" ht="15" hidden="false" customHeight="false" outlineLevel="0" collapsed="false">
      <c r="A6" s="6" t="s">
        <v>262</v>
      </c>
      <c r="B6" s="6" t="s">
        <v>263</v>
      </c>
      <c r="C6" s="6" t="s">
        <v>264</v>
      </c>
      <c r="D6" s="6" t="s">
        <v>265</v>
      </c>
      <c r="E6" s="6" t="s">
        <v>266</v>
      </c>
    </row>
    <row r="7" customFormat="false" ht="23.85" hidden="false" customHeight="false" outlineLevel="0" collapsed="false">
      <c r="A7" s="6" t="s">
        <v>96</v>
      </c>
      <c r="B7" s="6" t="s">
        <v>267</v>
      </c>
      <c r="C7" s="6" t="s">
        <v>268</v>
      </c>
      <c r="D7" s="6" t="s">
        <v>269</v>
      </c>
      <c r="E7" s="6" t="s">
        <v>270</v>
      </c>
    </row>
    <row r="8" customFormat="false" ht="23.85" hidden="false" customHeight="false" outlineLevel="0" collapsed="false">
      <c r="A8" s="6" t="s">
        <v>228</v>
      </c>
      <c r="B8" s="6" t="s">
        <v>271</v>
      </c>
      <c r="C8" s="6" t="s">
        <v>272</v>
      </c>
      <c r="D8" s="6" t="s">
        <v>269</v>
      </c>
      <c r="E8" s="6" t="s">
        <v>273</v>
      </c>
    </row>
    <row r="9" customFormat="false" ht="35.05" hidden="false" customHeight="false" outlineLevel="0" collapsed="false">
      <c r="A9" s="6" t="s">
        <v>120</v>
      </c>
      <c r="B9" s="6" t="s">
        <v>274</v>
      </c>
      <c r="C9" s="6" t="s">
        <v>275</v>
      </c>
      <c r="D9" s="6" t="s">
        <v>246</v>
      </c>
      <c r="E9" s="6" t="s">
        <v>276</v>
      </c>
    </row>
    <row r="10" customFormat="false" ht="23.85" hidden="false" customHeight="false" outlineLevel="0" collapsed="false">
      <c r="A10" s="6" t="s">
        <v>155</v>
      </c>
      <c r="B10" s="6" t="s">
        <v>277</v>
      </c>
      <c r="C10" s="6" t="s">
        <v>278</v>
      </c>
      <c r="D10" s="6" t="s">
        <v>246</v>
      </c>
      <c r="E10" s="6" t="s">
        <v>279</v>
      </c>
    </row>
    <row r="11" customFormat="false" ht="23.85" hidden="false" customHeight="false" outlineLevel="0" collapsed="false">
      <c r="A11" s="6" t="s">
        <v>112</v>
      </c>
      <c r="B11" s="6" t="s">
        <v>280</v>
      </c>
      <c r="C11" s="6" t="s">
        <v>281</v>
      </c>
      <c r="D11" s="6" t="s">
        <v>282</v>
      </c>
      <c r="E11" s="6" t="s">
        <v>283</v>
      </c>
    </row>
    <row r="12" customFormat="false" ht="35.05" hidden="false" customHeight="false" outlineLevel="0" collapsed="false">
      <c r="A12" s="6" t="s">
        <v>284</v>
      </c>
      <c r="B12" s="6" t="s">
        <v>285</v>
      </c>
      <c r="C12" s="6" t="s">
        <v>286</v>
      </c>
      <c r="D12" s="6" t="s">
        <v>246</v>
      </c>
      <c r="E12" s="6" t="s">
        <v>287</v>
      </c>
    </row>
    <row r="13" customFormat="false" ht="23.85" hidden="false" customHeight="false" outlineLevel="0" collapsed="false">
      <c r="A13" s="6" t="s">
        <v>288</v>
      </c>
      <c r="B13" s="6" t="s">
        <v>289</v>
      </c>
      <c r="C13" s="6" t="s">
        <v>290</v>
      </c>
      <c r="D13" s="6" t="s">
        <v>291</v>
      </c>
      <c r="E13" s="6" t="s">
        <v>292</v>
      </c>
    </row>
    <row r="14" customFormat="false" ht="15" hidden="false" customHeight="false" outlineLevel="0" collapsed="false">
      <c r="A14" s="6" t="s">
        <v>239</v>
      </c>
      <c r="B14" s="6" t="s">
        <v>293</v>
      </c>
      <c r="C14" s="6" t="s">
        <v>294</v>
      </c>
      <c r="D14" s="6" t="s">
        <v>295</v>
      </c>
      <c r="E14" s="6" t="s">
        <v>296</v>
      </c>
    </row>
    <row r="15" customFormat="false" ht="23.85" hidden="false" customHeight="false" outlineLevel="0" collapsed="false">
      <c r="A15" s="6" t="s">
        <v>233</v>
      </c>
      <c r="B15" s="6" t="s">
        <v>297</v>
      </c>
      <c r="C15" s="6" t="s">
        <v>298</v>
      </c>
      <c r="D15" s="6" t="s">
        <v>299</v>
      </c>
      <c r="E15" s="6" t="s">
        <v>300</v>
      </c>
    </row>
    <row r="16" customFormat="false" ht="35.05" hidden="false" customHeight="false" outlineLevel="0" collapsed="false">
      <c r="A16" s="6" t="s">
        <v>301</v>
      </c>
      <c r="B16" s="6" t="s">
        <v>302</v>
      </c>
      <c r="C16" s="6" t="s">
        <v>303</v>
      </c>
      <c r="D16" s="6" t="s">
        <v>304</v>
      </c>
      <c r="E16" s="6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80"/>
  </cols>
  <sheetData>
    <row r="1" customFormat="false" ht="15" hidden="false" customHeight="false" outlineLevel="0" collapsed="false">
      <c r="A1" s="4" t="s">
        <v>306</v>
      </c>
      <c r="B1" s="4" t="s">
        <v>307</v>
      </c>
      <c r="C1" s="4" t="s">
        <v>308</v>
      </c>
    </row>
    <row r="2" customFormat="false" ht="15" hidden="false" customHeight="false" outlineLevel="0" collapsed="false">
      <c r="A2" s="6" t="s">
        <v>309</v>
      </c>
      <c r="B2" s="6" t="s">
        <v>310</v>
      </c>
      <c r="C2" s="6" t="s">
        <v>311</v>
      </c>
    </row>
    <row r="3" customFormat="false" ht="23.85" hidden="false" customHeight="false" outlineLevel="0" collapsed="false">
      <c r="A3" s="6" t="s">
        <v>312</v>
      </c>
      <c r="B3" s="6" t="s">
        <v>313</v>
      </c>
      <c r="C3" s="6" t="s">
        <v>314</v>
      </c>
    </row>
    <row r="4" customFormat="false" ht="15" hidden="false" customHeight="false" outlineLevel="0" collapsed="false">
      <c r="A4" s="6" t="s">
        <v>315</v>
      </c>
      <c r="B4" s="6" t="s">
        <v>316</v>
      </c>
      <c r="C4" s="6" t="s">
        <v>317</v>
      </c>
    </row>
    <row r="5" customFormat="false" ht="23.85" hidden="false" customHeight="false" outlineLevel="0" collapsed="false">
      <c r="A5" s="6" t="s">
        <v>318</v>
      </c>
      <c r="B5" s="6" t="s">
        <v>319</v>
      </c>
      <c r="C5" s="6" t="s">
        <v>320</v>
      </c>
    </row>
    <row r="6" customFormat="false" ht="15" hidden="false" customHeight="false" outlineLevel="0" collapsed="false">
      <c r="A6" s="6" t="s">
        <v>321</v>
      </c>
      <c r="B6" s="6" t="s">
        <v>322</v>
      </c>
      <c r="C6" s="6" t="s">
        <v>323</v>
      </c>
    </row>
    <row r="7" customFormat="false" ht="15" hidden="false" customHeight="false" outlineLevel="0" collapsed="false">
      <c r="A7" s="6" t="s">
        <v>324</v>
      </c>
      <c r="B7" s="6" t="s">
        <v>325</v>
      </c>
      <c r="C7" s="6" t="s">
        <v>326</v>
      </c>
    </row>
    <row r="8" customFormat="false" ht="23.85" hidden="false" customHeight="false" outlineLevel="0" collapsed="false">
      <c r="A8" s="6" t="s">
        <v>327</v>
      </c>
      <c r="B8" s="6" t="s">
        <v>328</v>
      </c>
      <c r="C8" s="6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2026-10-18T10:17:32Z</dcterms:created>
  <dc:creator>openpyxl</dc:creator>
  <dc:description/>
  <dc:language>en-US</dc:language>
  <cp:lastModifiedBy/>
  <dcterms:modified xsi:type="dcterms:W3CDTF">2026-10-18T10:17:32Z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